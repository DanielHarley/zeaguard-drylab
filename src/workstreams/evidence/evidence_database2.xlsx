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v2" sheetId="1" r:id="rId4"/>
    <sheet state="visible" name="Parametros (long)" sheetId="2" r:id="rId5"/>
    <sheet state="visible" name="Listas" sheetId="3" r:id="rId6"/>
    <sheet state="visible" name="Lacunas" sheetId="4" r:id="rId7"/>
    <sheet state="visible" name="Guia v2" sheetId="5" r:id="rId8"/>
    <sheet state="visible" name="Resumo da triagem" sheetId="6" r:id="rId9"/>
    <sheet state="visible" name="Etapa 2 - Triagem LLM (orig)" sheetId="7" r:id="rId10"/>
  </sheets>
  <definedNames/>
  <calcPr/>
  <extLst>
    <ext uri="GoogleSheetsCustomDataVersion2">
      <go:sheetsCustomData xmlns:go="http://customooxmlschemas.google.com/" r:id="rId11" roundtripDataChecksum="r9dFMRI8NRs4qOKO7gE+sTQjRY6/RuwNp2xFOp7bdT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======
ID#AAACF4mhGqM
Unknown Author    (2026-08-24 15:53:50)
Derivado automaticamente do Grau de transferibilidade.
Largura da prior log-normal usada pela Modelagem:
log10(theta) ~ Normal(log10(valor), sigma_log10^2).
Grau 1=0,10 | 2=0,25 | 3=0,50 | 4=1,00</t>
      </text>
    </comment>
  </commentList>
  <extLst>
    <ext uri="GoogleSheetsCustomDataVersion2">
      <go:sheetsCustomData xmlns:go="http://customooxmlschemas.google.com/" r:id="rId1" roundtripDataSignature="AMtx7mi3hC+znR/ZBg5zsjGczUpKDxxV3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ID#AAACF4mhGqI
Unknown Author    (2026-08-24 15:53:50)
ETAPA 2 do pipeline (de 3): Triagem de plausibilidade por LLM, supervisionada por humano.
O humano avaliou o veredito do LLM sobre cada linha (coerencia interna, plausibilidade de unidade/ordem de grandeza), mas NAO abriu sistematicamente o artigo original para conferir o valor contra a fonte.
Por isso esta etapa NAO substitui a Etapa 3 (verificacao humana contra fonte primaria), que e o entregavel do ciclo atual, registrado na aba "Banco v2" (colunas "Verificado por (humano)" e "Data da verificacao").
Pipeline completo: 1) Coleta assistida por LLM -&gt; 2) Triagem de plausibilidade (LLM, supervisionado) -&gt; 3) Verificacao humana contra fonte primaria (pendente).</t>
      </text>
    </comment>
  </commentList>
  <extLst>
    <ext uri="GoogleSheetsCustomDataVersion2">
      <go:sheetsCustomData xmlns:go="http://customooxmlschemas.google.com/" r:id="rId1" roundtripDataSignature="AMtx7mi7YzrU6BTqVREx1pLrPNaPwlNz4g=="/>
    </ext>
  </extLst>
</comments>
</file>

<file path=xl/sharedStrings.xml><?xml version="1.0" encoding="utf-8"?>
<sst xmlns="http://schemas.openxmlformats.org/spreadsheetml/2006/main" count="3003" uniqueCount="1108">
  <si>
    <t>Parametro</t>
  </si>
  <si>
    <t>Linha original</t>
  </si>
  <si>
    <t>Descricao</t>
  </si>
  <si>
    <t>Unidade esperada</t>
  </si>
  <si>
    <t>Triagem</t>
  </si>
  <si>
    <t>Status</t>
  </si>
  <si>
    <t>Evidencia atual no banco</t>
  </si>
  <si>
    <t>Justificativa da triagem</t>
  </si>
  <si>
    <t>Impacto se continuar ausente</t>
  </si>
  <si>
    <t>Acao recomendada</t>
  </si>
  <si>
    <t>Responsavel</t>
  </si>
  <si>
    <t>k_deg</t>
  </si>
  <si>
    <t>Verificado por (humano)</t>
  </si>
  <si>
    <t>Constante de degradacao de dsRNA</t>
  </si>
  <si>
    <t>Data da verificacao</t>
  </si>
  <si>
    <t>h^-1 ou min^-1</t>
  </si>
  <si>
    <t>AUSENTE</t>
  </si>
  <si>
    <t>Nenhuma linha traz k em unidade de tempo^-1. So ha Vmax/Km (outro modelo) e limites inferiores.</t>
  </si>
  <si>
    <t>Data</t>
  </si>
  <si>
    <t>Bloqueia M1 (degradacao/AUC) e M3 (acoplado).</t>
  </si>
  <si>
    <t>Extrair curva C(t) via WebPlotDigitizer de qualquer artigo que publique e ajustar k localmente.</t>
  </si>
  <si>
    <t>Banco</t>
  </si>
  <si>
    <t>Responsável</t>
  </si>
  <si>
    <t>E_ing</t>
  </si>
  <si>
    <t>Membros</t>
  </si>
  <si>
    <t>Revisor</t>
  </si>
  <si>
    <t>Eficiencia de ingestao a partir de superficie foliar</t>
  </si>
  <si>
    <t>adimensional</t>
  </si>
  <si>
    <t>Nenhum valor. As linhas 3-4 (EPG) fornecem argumento mecanistico, nao o parametro.</t>
  </si>
  <si>
    <t>Domina a incerteza de toda a cadeia. Incerteza ESTRUTURAL, nao parametrica.</t>
  </si>
  <si>
    <t>Ano</t>
  </si>
  <si>
    <t>Experimento proprio (marcacao/qPCR de 16S em conteudo intestinal). Nao resolvivel por literatura.</t>
  </si>
  <si>
    <t>Wet Lab</t>
  </si>
  <si>
    <t>Rota de entrega</t>
  </si>
  <si>
    <t>Título</t>
  </si>
  <si>
    <t>EC50_KD</t>
  </si>
  <si>
    <t>Dose interna para 50% do knockdown maximo</t>
  </si>
  <si>
    <t>Forma do dsRNA</t>
  </si>
  <si>
    <t>ng/uL ou ng/inseto</t>
  </si>
  <si>
    <t>As linhas 20-23 dao pontos isolados, sem curva.</t>
  </si>
  <si>
    <t>DOI</t>
  </si>
  <si>
    <t>Bloqueia o modelo de Hill (M2).</t>
  </si>
  <si>
    <t>Unidade da dose</t>
  </si>
  <si>
    <t>Reunir todos os pontos dose-resposta de RNAi oral em Hemiptera e ajustar Hill conjunto.</t>
  </si>
  <si>
    <t>Revista</t>
  </si>
  <si>
    <t>Banco + Modelagem</t>
  </si>
  <si>
    <t>Parâmetros</t>
  </si>
  <si>
    <t>Espécie</t>
  </si>
  <si>
    <t>E_max, n_Hill</t>
  </si>
  <si>
    <t>Alvo</t>
  </si>
  <si>
    <t>Endpoint</t>
  </si>
  <si>
    <t>Efeito maximo e coeficiente de Hill</t>
  </si>
  <si>
    <t>% / adimensional</t>
  </si>
  <si>
    <t>Idem EC50.</t>
  </si>
  <si>
    <t>Bloqueia M2.</t>
  </si>
  <si>
    <t>Método da medição</t>
  </si>
  <si>
    <t>Grupo controle</t>
  </si>
  <si>
    <t>q_R,E</t>
  </si>
  <si>
    <t>Valor da dose</t>
  </si>
  <si>
    <t>Payload de dsRNA por unidade de carrier</t>
  </si>
  <si>
    <t>ug/mL ou ug/g biomassa</t>
  </si>
  <si>
    <t>CONTRADITORIO</t>
  </si>
  <si>
    <t>Grau de transferibilidade</t>
  </si>
  <si>
    <t>Linha 5 = 3,4 ug/mL vs linha 34 = 95 ug/mL, mesmo sistema (E. coli HT115). Discrepancia ~28x.</t>
  </si>
  <si>
    <t>Tempo de exposição</t>
  </si>
  <si>
    <t>A faixa sozinha atravessa a fronteira de viabilidade da biofabrica.</t>
  </si>
  <si>
    <t>Parâmetro 1</t>
  </si>
  <si>
    <t>Decisão afetada</t>
  </si>
  <si>
    <t>Resolver com fontes primarias. Buscar dados especificos de B. subtilis, nao de E. coli.</t>
  </si>
  <si>
    <t>Valor 1</t>
  </si>
  <si>
    <t>Ação recomendada</t>
  </si>
  <si>
    <t>beta_KD-&gt;ovos</t>
  </si>
  <si>
    <t>Parâmetro 2</t>
  </si>
  <si>
    <t>Efeito do knockdown de BicC sobre oviposicao</t>
  </si>
  <si>
    <t>coef. log-linear</t>
  </si>
  <si>
    <t>Valor 2</t>
  </si>
  <si>
    <t>Ha fecundidade basal (linhas 6,17-19) e ha oviposicao pos-RNAi (20-23), mas nao pareadas com % de knockdown.</t>
  </si>
  <si>
    <t>Parâmetro 3</t>
  </si>
  <si>
    <t>Bloqueia o elo entre efeito molecular e fenotipo.</t>
  </si>
  <si>
    <t>Extrair KD e ovos do MESMO experimento em Dalaison-Fuentes 2022.</t>
  </si>
  <si>
    <t>Valor 3</t>
  </si>
  <si>
    <t>offtarget_hits</t>
  </si>
  <si>
    <t>Parâmetro 4</t>
  </si>
  <si>
    <t>Correspondencias em organismos nao-alvo</t>
  </si>
  <si>
    <t>contagem de 21-mers</t>
  </si>
  <si>
    <t>Valor 4</t>
  </si>
  <si>
    <t>incerteza_tipo</t>
  </si>
  <si>
    <t>Zero linhas no banco sobre organismos nao-alvo.</t>
  </si>
  <si>
    <t>Bloqueia a analise de seguranca e a secao de Safety da wiki.</t>
  </si>
  <si>
    <t>usar_em_modelo</t>
  </si>
  <si>
    <t>Definir lista de nao-alvos e transcriptomas disponiveis.</t>
  </si>
  <si>
    <t>Parâmetro 5</t>
  </si>
  <si>
    <t>Bioinformatica</t>
  </si>
  <si>
    <t>modo</t>
  </si>
  <si>
    <t>t_delay</t>
  </si>
  <si>
    <t>Daniel</t>
  </si>
  <si>
    <t>Latencia entre exposicao e knockdown mensuravel</t>
  </si>
  <si>
    <t>h ou dias</t>
  </si>
  <si>
    <t>PARCIAL</t>
  </si>
  <si>
    <t>Linhas 2 e 14 sugerem latencia (sem efeito em 2 dias, efeito em 4).</t>
  </si>
  <si>
    <t>Afeta o desenho temporal de qualquer bioensaio.</t>
  </si>
  <si>
    <t>Em análise</t>
  </si>
  <si>
    <t>Quantificar a partir das series temporais dos mesmos artigos.</t>
  </si>
  <si>
    <t>Injeção</t>
  </si>
  <si>
    <t>dsRNA nu</t>
  </si>
  <si>
    <t>ng/µL</t>
  </si>
  <si>
    <t>k_deg_proteina (dsRNase)</t>
  </si>
  <si>
    <t>knockdown_BicC</t>
  </si>
  <si>
    <t>Meia-vida da proteina dsRNase-2</t>
  </si>
  <si>
    <t>h^-1</t>
  </si>
  <si>
    <t>Knockdown de transcrito</t>
  </si>
  <si>
    <t>RT-qPCR</t>
  </si>
  <si>
    <t>Nenhuma fonte. Necessario para a camada transcrito-&gt;proteina-&gt;atividade em M3.</t>
  </si>
  <si>
    <t>dsGFP</t>
  </si>
  <si>
    <t>Determina se co-administracao ou pre-exposicao e superior.</t>
  </si>
  <si>
    <t>1 - Direta</t>
  </si>
  <si>
    <t>Usar faixa generica de meia-vida de proteina secretada de inseto, declarada como nao informada.</t>
  </si>
  <si>
    <t>Escolha do alvo</t>
  </si>
  <si>
    <t>Modelagem</t>
  </si>
  <si>
    <t>Usar como faixa inicial</t>
  </si>
  <si>
    <t>1 - Verificar (prioridade)</t>
  </si>
  <si>
    <t>Valor 5</t>
  </si>
  <si>
    <t>SD</t>
  </si>
  <si>
    <t>sim</t>
  </si>
  <si>
    <t>literatura</t>
  </si>
  <si>
    <t>Marcos</t>
  </si>
  <si>
    <t>Analisado</t>
  </si>
  <si>
    <t>Dieta artificial</t>
  </si>
  <si>
    <t>siRNA</t>
  </si>
  <si>
    <t>µg/mL</t>
  </si>
  <si>
    <t>knockdown_dsRNase2</t>
  </si>
  <si>
    <t>Limitação principal</t>
  </si>
  <si>
    <t>Oviposição</t>
  </si>
  <si>
    <t>RNA-seq</t>
  </si>
  <si>
    <t>Água</t>
  </si>
  <si>
    <t>2 - Parcialmente direta</t>
  </si>
  <si>
    <t>Faixa de dose</t>
  </si>
  <si>
    <t>Usar como prior fraco</t>
  </si>
  <si>
    <t>2 - Usar com ressalva</t>
  </si>
  <si>
    <t>EP</t>
  </si>
  <si>
    <t>sim (qualitativo)</t>
  </si>
  <si>
    <t>Observações</t>
  </si>
  <si>
    <t>ajustado</t>
  </si>
  <si>
    <t>Gabriel</t>
  </si>
  <si>
    <t>Em revisão</t>
  </si>
  <si>
    <t>Foliar</t>
  </si>
  <si>
    <t>hairpin RNA</t>
  </si>
  <si>
    <t>ng/inseto</t>
  </si>
  <si>
    <t>ovos_por_fêmea</t>
  </si>
  <si>
    <t>Eclosão</t>
  </si>
  <si>
    <t>Gel de agarose</t>
  </si>
  <si>
    <t>Dieta sem dsRNA</t>
  </si>
  <si>
    <t>3 - Indireta</t>
  </si>
  <si>
    <t>Usar apenas qualitativamente</t>
  </si>
  <si>
    <t>3 - Nao usar / corrigir</t>
  </si>
  <si>
    <t>IC95</t>
  </si>
  <si>
    <t>nao</t>
  </si>
  <si>
    <t>Tales</t>
  </si>
  <si>
    <t>Revisado</t>
  </si>
  <si>
    <t>Bactéria oral</t>
  </si>
  <si>
    <t>dsRNA bacteriano</t>
  </si>
  <si>
    <t>µg/inseto</t>
  </si>
  <si>
    <t>ovos_por_grupo</t>
  </si>
  <si>
    <t>Mortalidade</t>
  </si>
  <si>
    <t>Bioensaio de oviposição</t>
  </si>
  <si>
    <t>Inseto sem tratamento</t>
  </si>
  <si>
    <t>4 - Especulativa</t>
  </si>
  <si>
    <t>Modelo k_deg</t>
  </si>
  <si>
    <t>Validar experimentalmente</t>
  </si>
  <si>
    <t>id</t>
  </si>
  <si>
    <t>faixa min-max</t>
  </si>
  <si>
    <t>Mariana</t>
  </si>
  <si>
    <t>Concluído</t>
  </si>
  <si>
    <t>Nanocarreador</t>
  </si>
  <si>
    <t>lisado bacteriano</t>
  </si>
  <si>
    <t>células/mL</t>
  </si>
  <si>
    <t>Grau 1, D. maidis. Valor qualitativo ('Não significativo'): extrair o valor numerico de fold-change e o p do artigo.</t>
  </si>
  <si>
    <t>taxa_eclosão</t>
  </si>
  <si>
    <t>Sobrevivência</t>
  </si>
  <si>
    <t>Microscopia</t>
  </si>
  <si>
    <t>Esporo vazio</t>
  </si>
  <si>
    <t>Modelo knockdown</t>
  </si>
  <si>
    <t>Comparar com outro artigo</t>
  </si>
  <si>
    <t>30/05</t>
  </si>
  <si>
    <t>ausente</t>
  </si>
  <si>
    <t>Beatriz</t>
  </si>
  <si>
    <t>2021</t>
  </si>
  <si>
    <t>Removido</t>
  </si>
  <si>
    <t>Assessing the Functionality of RNA Interference (RNAi) in the Phloem-feeding Maize pest Dalbulus maidis</t>
  </si>
  <si>
    <t>Planta transgênica</t>
  </si>
  <si>
    <t>10.1101/2021.09.29.462424</t>
  </si>
  <si>
    <t>esporo</t>
  </si>
  <si>
    <t>bioRxiv</t>
  </si>
  <si>
    <t>esporos/mL</t>
  </si>
  <si>
    <t>mortalidade</t>
  </si>
  <si>
    <t>Dalbulus maidis</t>
  </si>
  <si>
    <t>Integridade do dsRNA</t>
  </si>
  <si>
    <t>V-ATPase D</t>
  </si>
  <si>
    <t>Contagem manual</t>
  </si>
  <si>
    <t>Bactéria sem dsRNA</t>
  </si>
  <si>
    <t>Modelo oviposição</t>
  </si>
  <si>
    <t>Solicitar sequência aos autores</t>
  </si>
  <si>
    <t>Sofia</t>
  </si>
  <si>
    <t>2 dias</t>
  </si>
  <si>
    <t>knockdown_alvo</t>
  </si>
  <si>
    <t>In vitro</t>
  </si>
  <si>
    <t>Não significativo</t>
  </si>
  <si>
    <t>nanopartícula</t>
  </si>
  <si>
    <t>OD600</t>
  </si>
  <si>
    <t>sobrevivência</t>
  </si>
  <si>
    <t>Produção de dsRNA</t>
  </si>
  <si>
    <t>Linha origem</t>
  </si>
  <si>
    <t>EPG</t>
  </si>
  <si>
    <t>Nanocarreador vazio</t>
  </si>
  <si>
    <t>Controle experimental</t>
  </si>
  <si>
    <t>Converter unidade antes de usar</t>
  </si>
  <si>
    <t>Análise temporal imediata</t>
  </si>
  <si>
    <t>Nicolas</t>
  </si>
  <si>
    <t>Fermentação</t>
  </si>
  <si>
    <t>planta expressando dsRNA</t>
  </si>
  <si>
    <t>µg/cm²</t>
  </si>
  <si>
    <t>Ingestão</t>
  </si>
  <si>
    <t>Especie</t>
  </si>
  <si>
    <t>BLAST</t>
  </si>
  <si>
    <t>Buffer</t>
  </si>
  <si>
    <t>Gate de entrega</t>
  </si>
  <si>
    <t>Não usar em modelo</t>
  </si>
  <si>
    <t>Jhenifer</t>
  </si>
  <si>
    <t>Não informado</t>
  </si>
  <si>
    <t>célula bacteriana íntegra</t>
  </si>
  <si>
    <t>mg/L</t>
  </si>
  <si>
    <t>t1/2</t>
  </si>
  <si>
    <t>Off-target</t>
  </si>
  <si>
    <t>Espectrofotometria</t>
  </si>
  <si>
    <t>Gate de payload</t>
  </si>
  <si>
    <t>Usar como controle positivo</t>
  </si>
  <si>
    <t>Leandro</t>
  </si>
  <si>
    <t>Valor original (texto)</t>
  </si>
  <si>
    <t>nM</t>
  </si>
  <si>
    <t>EC50</t>
  </si>
  <si>
    <t>valor_num</t>
  </si>
  <si>
    <t>Comportamento alimentar</t>
  </si>
  <si>
    <t>Fluorescência</t>
  </si>
  <si>
    <t>Curva amostral ainda incompleta para fenótipo final em D.</t>
  </si>
  <si>
    <t>Modelo de latência</t>
  </si>
  <si>
    <t>Revisar estatística</t>
  </si>
  <si>
    <t>unidade</t>
  </si>
  <si>
    <t>Inserir parâmetro dinâmico para dias &gt; 3.</t>
  </si>
  <si>
    <t>Comportamento paralelo à subunidade B demonstrado na curva quantitativa de qPCR. | Desagregado do registro agregado anterior; conferir estágio ninfal, valores e janela temporal no preprint.</t>
  </si>
  <si>
    <t>µM</t>
  </si>
  <si>
    <t>Dado quantitativo mais estrategico do banco (tempo ate floema). Sustenta o gate de E_ing foliar. Conferir Tabela do artigo.</t>
  </si>
  <si>
    <t>Emax</t>
  </si>
  <si>
    <t>Crescimento microbiano</t>
  </si>
  <si>
    <t>CFU</t>
  </si>
  <si>
    <t>Biofábrica</t>
  </si>
  <si>
    <t>Extrair dado da figura</t>
  </si>
  <si>
    <t>incerteza_valor</t>
  </si>
  <si>
    <t>n</t>
  </si>
  <si>
    <t>n_Hill</t>
  </si>
  <si>
    <t>Estabilidade ambiental</t>
  </si>
  <si>
    <t>Biossegurança</t>
  </si>
  <si>
    <t>Probing behavior of the corn leafhopper Dalbulus maidis on susceptible and resistant maize hybrids</t>
  </si>
  <si>
    <t>Buscar suplemento</t>
  </si>
  <si>
    <t>10.1371/journal.pone.0259481</t>
  </si>
  <si>
    <t>Tempo / condicao</t>
  </si>
  <si>
    <t>PLoS ONE</t>
  </si>
  <si>
    <t>20 h</t>
  </si>
  <si>
    <t>HPLC</t>
  </si>
  <si>
    <t>tempo_ate_floema</t>
  </si>
  <si>
    <t>313.97 min</t>
  </si>
  <si>
    <t>tempo_gasto_floema</t>
  </si>
  <si>
    <t>Desenho experimental</t>
  </si>
  <si>
    <t>~80%</t>
  </si>
  <si>
    <t>sigma_log10</t>
  </si>
  <si>
    <t>Topologia alimentar em var. DK670</t>
  </si>
  <si>
    <t>Electrical Penetration Graph</t>
  </si>
  <si>
    <t>DK670 (suscetível)</t>
  </si>
  <si>
    <t>payload_dsRNA</t>
  </si>
  <si>
    <t>Inexistem patógenos em avaliação cruzada no estilete elétrico livre.</t>
  </si>
  <si>
    <t>Modelo E_ing foliar</t>
  </si>
  <si>
    <t>Invalidar a eficácia primária teórica do spray depositado restrito na epiderme cuticular seca.</t>
  </si>
  <si>
    <t>Cigarrinhas exigiram &gt;5h de sondagem para engatar floema plenamente e raramente re-sondaram cutículas cerosas. | Adicionar ao gate de entrega; conferir interpretação exata das ondas e métricas no artigo primário.</t>
  </si>
  <si>
    <t>DT50</t>
  </si>
  <si>
    <t>Complementa a linha 3. Valores qualitativos ('Elevada','Presentes') precisam virar numero ou serem marcados como categoricos.</t>
  </si>
  <si>
    <t>DT90</t>
  </si>
  <si>
    <t>frequencia_sondagem_mesofilo</t>
  </si>
  <si>
    <t>Elevada</t>
  </si>
  <si>
    <t>falhas_ingestao_floematica</t>
  </si>
  <si>
    <t>Presentes</t>
  </si>
  <si>
    <t>Observacao</t>
  </si>
  <si>
    <t>GC_content</t>
  </si>
  <si>
    <t>Ondas resistivas alimentares Dm1 a Dm5</t>
  </si>
  <si>
    <t>EPG em circuito DC ouro</t>
  </si>
  <si>
    <t>DK390 (resistente)</t>
  </si>
  <si>
    <t>Sem adição de formulação nanoestruturada na lâmina botânica em vivo.</t>
  </si>
  <si>
    <t>P001</t>
  </si>
  <si>
    <t>Modelo comportamental de restrição de prova</t>
  </si>
  <si>
    <t>fragmento_tamanho</t>
  </si>
  <si>
    <t>Tratar o tecido mesofilar em planta resistente como insalubre para sucção.</t>
  </si>
  <si>
    <t>Evidenciou ondas Dm1 intensificadas em falhas repetitivas rejeitando fluidos extra-floemáticos rasos superficiais. | Adicionar ao gate de entrega; conferir interpretação exata das ondas e métricas no artigo primário.</t>
  </si>
  <si>
    <t>OD600_final</t>
  </si>
  <si>
    <t>Sem DOI. Rendimento 3,4 ug/mL conflita ~28x com a linha 34 (95 ug/mL) para o mesmo sistema. Identificar a fonte primaria antes de qualquer uso.</t>
  </si>
  <si>
    <t>esporos_mL</t>
  </si>
  <si>
    <t>Scale-up of double-stranded RNA production in fed-batch fermentation... (Citado em PMC8473835)</t>
  </si>
  <si>
    <t>10.1186/s12896-015-0226-9</t>
  </si>
  <si>
    <t>Journal of Biotechnology</t>
  </si>
  <si>
    <t>Escherichia coli HT115</t>
  </si>
  <si>
    <t>dsRNA amplo</t>
  </si>
  <si>
    <t>Plasmídeo interno (L4440)</t>
  </si>
  <si>
    <t>rendimento_dsRNA</t>
  </si>
  <si>
    <t>3.4 µg/mL</t>
  </si>
  <si>
    <t>Produtividade do extrato reacional</t>
  </si>
  <si>
    <t>Extração fenol-clorofórmio; quantificação por absorbância UV 260 nm</t>
  </si>
  <si>
    <t>Comparação com a condição fed-batch da mesma fonte (linha 34, 95.0 µg/mL)</t>
  </si>
  <si>
    <t>Sistema é E. coli (RNase III−), não B. subtilis; mede rendimento genérico de dsRNA para contexto WSSV/camarão, não eficácia em inseto.</t>
  </si>
  <si>
    <t>Limiar e baseline paramétrica inicial econômica</t>
  </si>
  <si>
    <t>Empregar 3-5 ug/mL como cenário pessimista logístico</t>
  </si>
  <si>
    <t>Ambos os valores (linhas 5 e 34) são corretos e vêm do mesmo estudo/mesma tabela — não é conflito de dado, é comparação batelada-vs-fed-batch dentro do próprio experimento.</t>
  </si>
  <si>
    <t>Melhor dado quantitativo do banco. A estratificacao regional fornece dispersao empirica para a prior de fecundidade basal.</t>
  </si>
  <si>
    <t>29/05</t>
  </si>
  <si>
    <t>2010</t>
  </si>
  <si>
    <t>Comparison of Fecundity and Body Size of Mexican and Argentinian Populations of Dalbulus maidis (Hemiptera: Cicadellidae)</t>
  </si>
  <si>
    <t>doi.org/10.1603/AN09164</t>
  </si>
  <si>
    <t>Coletas em 2 dias e 4 dias pós alimentação; efeito robusto apenas no dia 4; temperatura 23–25 °C, fotoperíodo 14:10</t>
  </si>
  <si>
    <t>Annals of the Entomological Society of America</t>
  </si>
  <si>
    <t>Dalbulus maidis / Argentina &lt;1000 m</t>
  </si>
  <si>
    <t>Fecundidade basal</t>
  </si>
  <si>
    <t>5 dias</t>
  </si>
  <si>
    <t>~20 ovos/fêmea em 5 dias</t>
  </si>
  <si>
    <t>Oviposição basal</t>
  </si>
  <si>
    <t>Contagem manual de ovos em folhas de milho</t>
  </si>
  <si>
    <t>Não envolve RNAi nem tratamento molecular / mede apenas baseline populacional</t>
  </si>
  <si>
    <t>Modelo oviposição / baseline de fecundidade</t>
  </si>
  <si>
    <t>Usar como prior fraco para fecundidade basal</t>
  </si>
  <si>
    <t>Argentina &lt;1000 m</t>
  </si>
  <si>
    <t>Vmax/Km sao Michaelis-Menten, nao decaimento de 1a ordem. ALERTA DE UNIDADE: dose registrada como 500 uM e implausivel; conferir se e uM de nucleotideos ou de moleculas (diferenca de ~10^3).</t>
  </si>
  <si>
    <t>2018</t>
  </si>
  <si>
    <t>Biochemical Comparison of dsRNA Degrading Nucleases in Four Different Insects</t>
  </si>
  <si>
    <t>10.3389/fphys.2018.00624</t>
  </si>
  <si>
    <t>Frontiers in Physiology</t>
  </si>
  <si>
    <t>Locusta migratoria</t>
  </si>
  <si>
    <t>dsRNA de EGFP</t>
  </si>
  <si>
    <t>Vmax</t>
  </si>
  <si>
    <t>9.46 µM·s⁻¹</t>
  </si>
  <si>
    <t>Km</t>
  </si>
  <si>
    <t>3.06 µM</t>
  </si>
  <si>
    <t>Atividade nuclease</t>
  </si>
  <si>
    <t>Tampão</t>
  </si>
  <si>
    <t>Inseto não sugador e ensaio in vitro / extrapolação forte para D. maidis</t>
  </si>
  <si>
    <t>Útil como cenário de comparação enzimática / não usar como parâmetro direto sem calibração</t>
  </si>
  <si>
    <t>Idem linha 7. Especie nao sugadora, ensaio in vitro.</t>
  </si>
  <si>
    <t>Beatriz Venancio</t>
  </si>
  <si>
    <t>Periplaneta americana</t>
  </si>
  <si>
    <t>3.58 µM·s⁻¹</t>
  </si>
  <si>
    <t>0.27 µM</t>
  </si>
  <si>
    <t>CORREÇÔES: tempo/condição. Tempo de efeito: O knockdown dos genes V ATPase B e D só se tornou significativo após 4 dias de ingestão contínua de dsRNA, não em 2 dias. Isso mostra que o RNAi em Dalbulus maidis exige exposição prolongada para se consolidar. Além da redução da expressão, houve mortalidade aumentada e deformações nas asas nos insetos tratados, reforçando que o knockdown teve impacto funcional. O efeito não foi imediato – sugere exposição prolongada</t>
  </si>
  <si>
    <t>Zophobas atratus</t>
  </si>
  <si>
    <t>38.87 µM·s⁻¹</t>
  </si>
  <si>
    <t>17.59 µM</t>
  </si>
  <si>
    <t>P002</t>
  </si>
  <si>
    <t>Util para gatilho reprodutivo e modelagem populacional; nao fornece ovos/femea/dia.</t>
  </si>
  <si>
    <t>2025</t>
  </si>
  <si>
    <t>Reproductive strategy of overwintering Dalbulus maidis (Hemiptera: Cicadellidae) in subtropical areas: neither temperature nor photoperiod, only corn triggers oviposition</t>
  </si>
  <si>
    <t>10.1002/ps.70227</t>
  </si>
  <si>
    <t>Pest Management Science</t>
  </si>
  <si>
    <t>Oviposição basal / ativação ovariana</t>
  </si>
  <si>
    <t>&gt; 2 semanas</t>
  </si>
  <si>
    <t>gatilho_da_oviposição</t>
  </si>
  <si>
    <t>Presença de planta de milho</t>
  </si>
  <si>
    <t>fertilidade</t>
  </si>
  <si>
    <t>&gt; 80% por mais de 2 semanas (fêmeas hibernantes, sem machos)</t>
  </si>
  <si>
    <t>estado_ovariano</t>
  </si>
  <si>
    <t>Ovários inativos mas fertilizados no inverno (quiescência reprodutiva)</t>
  </si>
  <si>
    <t>Oviposição (ativação reprodutiva)</t>
  </si>
  <si>
    <t>Bioensaio de oviposição / dissecção ovariana</t>
  </si>
  <si>
    <t>Fêmeas em diferentes condições (temperatura, fotoperíodo, milho)</t>
  </si>
  <si>
    <t>Foco em fêmeas hibernantes; não fornece ovos/fêmea/dia quantitativo</t>
  </si>
  <si>
    <t>Útil para modelagem populacional e gatilho reprodutivo; não envolve RNAi.</t>
  </si>
  <si>
    <t>Central para k_deg, mas 'degradacao total ~100% em 12h' so define limite inferior de k. Extrair curva temporal se o artigo publicar.</t>
  </si>
  <si>
    <t>2023</t>
  </si>
  <si>
    <t>Knockdown of double-stranded RNases enhances oral RNA interference in the corn leafhopper</t>
  </si>
  <si>
    <t>10.1016/j.pestbp.2023.105618</t>
  </si>
  <si>
    <t>Pesticide Biochemistry and Physiology</t>
  </si>
  <si>
    <t>dsRNase-2</t>
  </si>
  <si>
    <t>12 h</t>
  </si>
  <si>
    <t>degradacao_saliva</t>
  </si>
  <si>
    <t>Total (~100%)</t>
  </si>
  <si>
    <t>Degradação estrutural de fita RNA</t>
  </si>
  <si>
    <t>Gel de degradação</t>
  </si>
  <si>
    <t>Não reflete metabolismo dinâmico de produção celular vivo.</t>
  </si>
  <si>
    <t>Modelo k_deg temporal</t>
  </si>
  <si>
    <t>Aplicar constante severa nos fluidos gástricos.</t>
  </si>
  <si>
    <t>Glândula salivar exibiu degradação profunda em intervalo restrito. | Linha separada para parametrização explícita de degradação ex vivo e estimativa de k_deg.</t>
  </si>
  <si>
    <t>Grau 1. Dose de 500 ng/uL e incompativel com escalonamento; usar como teto, nao como faixa operacional.</t>
  </si>
  <si>
    <t>V-ATPase B</t>
  </si>
  <si>
    <t>316.6 (Página 7, tabela 2)</t>
  </si>
  <si>
    <t>4 dias</t>
  </si>
  <si>
    <t>sobrevivencia</t>
  </si>
  <si>
    <t>~16%</t>
  </si>
  <si>
    <t>deformacao_asa</t>
  </si>
  <si>
    <t>Alta significância</t>
  </si>
  <si>
    <t>Sobrevivência e má-formação ecdise</t>
  </si>
  <si>
    <t>Bioensaio visual e microscopia</t>
  </si>
  <si>
    <t>Dose exagerada incompatível com escalonamento puro de produção.</t>
  </si>
  <si>
    <t>Desenho experimental de viabilidade</t>
  </si>
  <si>
    <t>Ajustar limiar EC50 agressivo do letal agudo.</t>
  </si>
  <si>
    <t>A deformação aguda foi corroborada pelo teste chi-quadrado. | Desagregado do registro agregado anterior; conferir estágio ninfal, valores e janela temporal no preprint.</t>
  </si>
  <si>
    <t>min</t>
  </si>
  <si>
    <t>Grau 1. Conferir se a diferenca B vs D e estatisticamente sustentada.</t>
  </si>
  <si>
    <t>~18%</t>
  </si>
  <si>
    <t>Não significativa</t>
  </si>
  <si>
    <t>Mortalidade letal direta</t>
  </si>
  <si>
    <t>Bioensaio em ninfas de quinto instar</t>
  </si>
  <si>
    <t>Fenótipo anômalo não obteve robustez estatística.</t>
  </si>
  <si>
    <t>Escolha do alvo preferencial inter-subunidades</t>
  </si>
  <si>
    <t>Avançar com modelo de sobrevivência para subunidade B como superior à D.</t>
  </si>
  <si>
    <t>Diferença sutil no impacto pós-muda em relação ao grupo tratado B. | Desagregado do registro agregado anterior; conferir estágio ninfal, valores e janela temporal no preprint.</t>
  </si>
  <si>
    <t>Grau 1, janela temporal curta. Sustenta hipotese de latencia (t_delay), nao de ausencia de efeito.</t>
  </si>
  <si>
    <t>Análise temporal imediata de redução de transcrito</t>
  </si>
  <si>
    <t>Restrito apenas à janela inicial não-cumulativa.</t>
  </si>
  <si>
    <t>Modelo de latência temporal (t_delay)</t>
  </si>
  <si>
    <t>Definir falha no decaimento expressivo nas primeiras 48h da simulação preditiva.</t>
  </si>
  <si>
    <t>Confirma atraso intrínseco e sistemático no espraiamento celular de transcritos V-ATPase. | Desagregado do registro agregado anterior; conferir estágio ninfal, valores e janela temporal no preprint.</t>
  </si>
  <si>
    <t>Contexto ecologico (mortalidade natural de ovos). Nao usar em decisao de potencia molecular.</t>
  </si>
  <si>
    <t>28/05</t>
  </si>
  <si>
    <t>Nicolas Blaskovski</t>
  </si>
  <si>
    <t>2009</t>
  </si>
  <si>
    <t>Egg Parasitoids of Dalbulus maidis (Hemiptera: Cicadellidae) in Jalisco State, Mexico</t>
  </si>
  <si>
    <t>10.1653/024.092.0316</t>
  </si>
  <si>
    <t>Florida Entomologist</t>
  </si>
  <si>
    <t>Parasitismo natural de ovos</t>
  </si>
  <si>
    <t>Coleta de ovos sentinela em campo</t>
  </si>
  <si>
    <t>72–96 h de exposição em campo; ovos com menos de 24 h</t>
  </si>
  <si>
    <t>ovos_expostos</t>
  </si>
  <si>
    <t>aproximadamente 1600 ovos sentinela</t>
  </si>
  <si>
    <t>parasitoides_emergidos</t>
  </si>
  <si>
    <t>923 vespas emergidas</t>
  </si>
  <si>
    <t>parasitoides_identificados</t>
  </si>
  <si>
    <t>5 táxons: Anagrus breviphragma; Polynema sp.; Paracentrobia nr subflava; Aphelinoidea sp.; Pseudoligosita sp.</t>
  </si>
  <si>
    <t>local_coleta</t>
  </si>
  <si>
    <t>Zapopan e El Grullo, Jalisco, México</t>
  </si>
  <si>
    <t>distribuição_por_local</t>
  </si>
  <si>
    <t>El Grullo: 419 parasitoides; Zapopan: 504 parasitoides</t>
  </si>
  <si>
    <t>Emergência e identificação de parasitoides de ovos</t>
  </si>
  <si>
    <t>Exposição de ovos sentinela em plantas de milho; incubação de folhas em laboratório; emergência de adultos; identificação taxonômica</t>
  </si>
  <si>
    <t>Não há controle experimental clássico; estudo observacional com ovos sentinela</t>
  </si>
  <si>
    <t>A taxa real de parasitismo não foi medida; estudo feito no México; não envolve RNAi, BicC, dsRNase-2 ou entrega por Bacillus</t>
  </si>
  <si>
    <t>Modelo oviposição-população; mortalidade natural de ovos; incerteza ecológica basal</t>
  </si>
  <si>
    <t>Usar como prior fraco para mortalidade natural de ovos; não usar como taxa direta de parasitismo sem validação</t>
  </si>
  <si>
    <t>P003</t>
  </si>
  <si>
    <t>Responde diretamente a questao da RNase III no chassi: B. subtilis dRncS produz dsRNA funcional. Mas C. elegans e bacterivoro; nao transfere para hemiptero.</t>
  </si>
  <si>
    <t>2015</t>
  </si>
  <si>
    <t>Specific RNA Interference in Caenorhabditis elegans by Ingested dsRNA Expressed in Bacillus subtilis</t>
  </si>
  <si>
    <t>10.1371/journal.pone.0124508</t>
  </si>
  <si>
    <t>Bacillus subtilis; Caenorhabditis elegans</t>
  </si>
  <si>
    <t>GFP transgênico; DAF-16::GFP; SUR-5::GFP</t>
  </si>
  <si>
    <t>Bactéria oral; alimentação em placa NGM contendo B. subtilis recombinante</t>
  </si>
  <si>
    <t>dsRNA bacteriano produzido em B. subtilis ΔrncS por vetor pBSR-GFP com promotores Pspac bidirecionais</t>
  </si>
  <si>
    <t>24 h de alimentação</t>
  </si>
  <si>
    <t>animais_com_redução_GFP</t>
  </si>
  <si>
    <t>aproximadamente 90–95% dos animais</t>
  </si>
  <si>
    <t>GFP_DAF16_residual</t>
  </si>
  <si>
    <t>3% da expressão original</t>
  </si>
  <si>
    <t>redução_GFP_SUR5</t>
  </si>
  <si>
    <t>quase 6 vezes menor</t>
  </si>
  <si>
    <t>IPTG_indução</t>
  </si>
  <si>
    <t>2 mM em placas NGM-RNAi</t>
  </si>
  <si>
    <t>fragmento_GFP</t>
  </si>
  <si>
    <t>750 bp</t>
  </si>
  <si>
    <t>Knockdown funcional de GFP por RNAi após ingestão de B. subtilis expressando dsRNA</t>
  </si>
  <si>
    <t>Alimentação bacteriana; microscopia de fluorescência; quantificação por ImageJ; comparação estatística por t-test</t>
  </si>
  <si>
    <t>B. subtilis BG322 com vetor pBSR vazio/original</t>
  </si>
  <si>
    <t>C. elegans é bacterívoro e ingere/tritura bactérias diretamente; não representa alimentação estiletar de Dalbulus maidis; não mede BicC, dsRNase-2, oviposição, esporo foliar, milho tratado nem dose absoluta de dsRNA</t>
  </si>
  <si>
    <t>Biofábrica; desenho do chassi; gate de payload; hipótese de entrega bacteriana</t>
  </si>
  <si>
    <t>Usar como evidência de que B. subtilis ΔrncS pode expressar dsRNA funcional; não usar como prova de entrega em D. maidis; medir payload_dsRNA no chassi BioGuard e testar ingestão/recuperação em cigarrinha antes de assumir eficácia</t>
  </si>
  <si>
    <t>Verificar em Materials and Methods: construção pBSR, fragmento GFP de 750 bp, B. subtilis BG322 ΔrncS e indução por IPTG; verificar em Results/Fig. 2: queda de GFP após ingestão. O artigo sustenta biofábrica bacteriana em modelo distante, mas não valida Bacillus foliar/esporulado para Dalbulus maidis.</t>
  </si>
  <si>
    <t>Ver linha 6.</t>
  </si>
  <si>
    <t>~80% (Não consegui identificar)</t>
  </si>
  <si>
    <t>10.1603/AN09164</t>
  </si>
  <si>
    <t>Dalbulus maidis / México &gt;1000 m</t>
  </si>
  <si>
    <t>~26 ovos/fêmea em 5 dias</t>
  </si>
  <si>
    <t>%</t>
  </si>
  <si>
    <t>México &gt;1000 m</t>
  </si>
  <si>
    <t>Dalbulus maidis / México &lt;1000 m</t>
  </si>
  <si>
    <t>~13 ovos/fêmea em 5 dias</t>
  </si>
  <si>
    <t>México &lt;1000 m</t>
  </si>
  <si>
    <t>Dalbulus maidis / Argentina &gt;1000 m</t>
  </si>
  <si>
    <t>Argentina &gt;1000 m</t>
  </si>
  <si>
    <t>Rota de injecao contorna a barreira luminal. Substituir 'aprox. 0 ovos' por valor numerico e n.</t>
  </si>
  <si>
    <t>2022</t>
  </si>
  <si>
    <t>Development of efficient RNAi methods in the corn leafhopper Dalbulus maidis</t>
  </si>
  <si>
    <t>10.1002/ps.6937</t>
  </si>
  <si>
    <t>BicC</t>
  </si>
  <si>
    <t>7 dias</t>
  </si>
  <si>
    <t>~0 ovos</t>
  </si>
  <si>
    <t>Oviposição letal (fecundidade)</t>
  </si>
  <si>
    <t>Contagem manual e microscopia</t>
  </si>
  <si>
    <t>Método contorna a barreira do trato digestivo e não avalia via oral.</t>
  </si>
  <si>
    <t>Validar capacidade em rota oral.</t>
  </si>
  <si>
    <t>Dose induziu parada reprodutiva e fenótipo ovariano opaco/abortivo. | Consolidado com o registro previamente preenchido por Sofia; conferir valores no artigo primário.</t>
  </si>
  <si>
    <t>Mesma penetrancia da linha 20 com o dobro da dose: sugere saturacao. Relevante para EC50/Emax.</t>
  </si>
  <si>
    <t>P004</t>
  </si>
  <si>
    <t xml:space="preserve">frequencia_sondagem_mesofilo </t>
  </si>
  <si>
    <t>Elevada (Página 6 a 8 - Figura 3/ Tabela 2)</t>
  </si>
  <si>
    <t>P005</t>
  </si>
  <si>
    <t>P006</t>
  </si>
  <si>
    <t>Injeção não comprova captação estiletar.</t>
  </si>
  <si>
    <t>Modelo dose-resposta</t>
  </si>
  <si>
    <t>Comparar com as doses intra-abdominais menores.</t>
  </si>
  <si>
    <t>Atingiu penetrância idêntica à dose de 100 ng/µL. | Consolidado com o registro previamente preenchido por Sofia; conferir valores no artigo primário.</t>
  </si>
  <si>
    <t>Grau 1, rota oral. 'Alta reducao' precisa virar fold-change numerico. Linha critica para dose-resposta oral.</t>
  </si>
  <si>
    <t>3 dias</t>
  </si>
  <si>
    <t>Alta redução</t>
  </si>
  <si>
    <t>3.4 ± 0.5 µg/mL</t>
  </si>
  <si>
    <t>Dieta contorna dificuldades do mesofilo foliar.</t>
  </si>
  <si>
    <t>Faixa de dose inicial</t>
  </si>
  <si>
    <t>Adotar como teto no ensaio in vitro.</t>
  </si>
  <si>
    <t>Exposição de 3 dias de alimentação confirmada por EPG breve. | Consolidado com o registro previamente preenchido por Sofia; conferir valores no artigo primário.</t>
  </si>
  <si>
    <t>Grau 1, rota oral. 'Queda drastica' precisa virar valor. Linha critica para dose-resposta oral.</t>
  </si>
  <si>
    <t>Queda drástica</t>
  </si>
  <si>
    <t>Não testa Bacillus em folha real.</t>
  </si>
  <si>
    <t>Usar no modelo dose-resposta oral.</t>
  </si>
  <si>
    <t>Bioensaio confinado por parafilm. Valor quantitativo não numérico no resumo. | Nova condição separada do registro didático de 48 h; conferir valor quantitativo no artigo primário.</t>
  </si>
  <si>
    <t>Hemiptero, rota planta transgenica. Prior fraco para RNAi oral.</t>
  </si>
  <si>
    <t>2011</t>
  </si>
  <si>
    <t>Knockdown of Midgut Genes by dsRNA-Transgenic Plant-Mediated RNA Interference in the Hemipteran Insect Nilaparvata lugens</t>
  </si>
  <si>
    <t>10.1371/journal.pone.0020504</t>
  </si>
  <si>
    <t>Nilaparvata lugens</t>
  </si>
  <si>
    <t>Nicar</t>
  </si>
  <si>
    <t>Planta expressando dsRNA</t>
  </si>
  <si>
    <t>2 a 4 dias</t>
  </si>
  <si>
    <t>42.1%–43.3%</t>
  </si>
  <si>
    <t>Não observado</t>
  </si>
  <si>
    <t>qRT-PCR / Northern blot</t>
  </si>
  <si>
    <t>WT / vetor vazio</t>
  </si>
  <si>
    <t>Outro hemíptero e rota planta-transgênica / não informa dose absoluta ingerida</t>
  </si>
  <si>
    <t>Rota de entrega / controle experimental</t>
  </si>
  <si>
    <t>Usar como prior fraco para RNAi oral em hemípteros</t>
  </si>
  <si>
    <t>O dado sustenta que planta pode entregar dsRNA funcional em hemíptero sugador, mas não valida Bacillus foliar</t>
  </si>
  <si>
    <t>Idem linha 24. Padronizar grafia do alvo (Nitry / Nltry).</t>
  </si>
  <si>
    <t>Nitry</t>
  </si>
  <si>
    <t>61%–73.3%</t>
  </si>
  <si>
    <t>O dado sustenta que planta pode entregar dsRNA funcional em hemíptero sugador, mas não valida Bacillus foliar | Conferir se o valor máximo do intervalo corresponde especificamente ao quarto dia.</t>
  </si>
  <si>
    <t>P007</t>
  </si>
  <si>
    <t>Artigo revisado e mudado pra "usar com ressalva"</t>
  </si>
  <si>
    <t>Optimizing Efficient RNAi-Mediated Control of Hemipteran
 Pests (Psyllids, Leafhoppers, Whitefly): Modified Pyrimidines
 in dsRNA Triggers</t>
  </si>
  <si>
    <t>https://doi.org/10.3390/plants10091782</t>
  </si>
  <si>
    <t>Plants for MDPI</t>
  </si>
  <si>
    <t>Diaphorina citri (Hemiptera: Liviidae)</t>
  </si>
  <si>
    <t>Cactin</t>
  </si>
  <si>
    <t>dsRNA com pirimidinas modificadas (2'-F-Citosina / 2'-F-Uracila, ~30–55% de substituição)</t>
  </si>
  <si>
    <t>µg/planta</t>
  </si>
  <si>
    <t>8 dias</t>
  </si>
  <si>
    <t>mortalidade_adultos</t>
  </si>
  <si>
    <t>58.8% ± SE 0.64 (n=9)</t>
  </si>
  <si>
    <t>Bioensaio de mortalidade; ANOVA one-way + Tukey post-hoc (p&lt;0.05)</t>
  </si>
  <si>
    <t>dsRNA-CSBV (2 µg, controle não relacionado): 21.4% ± SE 0.66; controle água</t>
  </si>
  <si>
    <t>~20 ovos/fêmea em 5 dias (Página 2, paragrafo 2 - 20 Ovos, figura 1)</t>
  </si>
  <si>
    <t>Psilídeo (não cigarrinha); spray tópico direto em citros (não dieta artificial); resultado é 1 de várias condições/espécies/genes do artigo (também testa B. tabaci e H. vitripennis, e genes Trehalase e Syntaxin1A, não capturados nesta linha).</t>
  </si>
  <si>
    <t>Faixa de dose / forma do dsRNA</t>
  </si>
  <si>
    <t>Usar como evidência indireta de que pirimidinas modificadas (2'-F) aumentam mortalidade ~13 pontos percentuais vs. dsRNA não-modificado no mesmo alvo/dose em Hemiptera; não extrapolar valor absoluto de mortalidade para D. maidis.</t>
  </si>
  <si>
    <t xml:space="preserve">µg/planta" (dose total por muda em spray tópico) não está no vocabulário controlado de Unidade da dose (que é todo em concentração/dose por inseto); mantive por ser o mais fiel ao artigo, mas não é diretamente comparável a doses em ng/µL de outras linhas </t>
  </si>
  <si>
    <t>ovos/fêmea em 5 dias</t>
  </si>
  <si>
    <t>Controle positivo de maquinaria RNAi. Parametros registrados sao de desenho experimental, nao de efeito.</t>
  </si>
  <si>
    <t>2012</t>
  </si>
  <si>
    <t>Molecular characterization and gene functional analysis of Dicer-2 gene from Nilaparvata lugens</t>
  </si>
  <si>
    <t>10.1111/j.1744-7917.2012.01539.x</t>
  </si>
  <si>
    <t>Insect Science</t>
  </si>
  <si>
    <t>NlDcr-2</t>
  </si>
  <si>
    <t>n_indivíduos</t>
  </si>
  <si>
    <t>25 ninfas</t>
  </si>
  <si>
    <t>volume_dieta_total</t>
  </si>
  <si>
    <t>40 µL</t>
  </si>
  <si>
    <t>RT-PCR convencional / qRT-PCR</t>
  </si>
  <si>
    <t>Outro hemíptero / endpoint molecular sem oviposição</t>
  </si>
  <si>
    <t>Faixa de dose / controle positivo de maquinaria RNAi</t>
  </si>
  <si>
    <t>Usar como faixa inicial e controle positivo em hemíptero sugador</t>
  </si>
  <si>
    <t>A linha existente na planilha não preserva valor quantitativo de knockdown / retornar ao artigo para extrair a curva | Confirmar ano bibliográfico final e extrair valor quantitativo de knockdown.</t>
  </si>
  <si>
    <t>Riboswitches: relevante para engenharia de expressao no chassi, nao para RNAi.</t>
  </si>
  <si>
    <t>Targeting riboswitches with synthetic small RNAs for metabolic engineering</t>
  </si>
  <si>
    <t>10.1101/2021.06.21.449321</t>
  </si>
  <si>
    <t>Bacillus subtilis</t>
  </si>
  <si>
    <t>Riboswitches (purE, pbuE, xpt, ribDG)</t>
  </si>
  <si>
    <t>sRNA sintético</t>
  </si>
  <si>
    <t>ativação da expressão (pbuE)</t>
  </si>
  <si>
    <t>103 vezes</t>
  </si>
  <si>
    <t>aumento da riboflavina (ribDG)</t>
  </si>
  <si>
    <t>0,5</t>
  </si>
  <si>
    <t>aumento com operon de sRNAs</t>
  </si>
  <si>
    <t>5 vezes</t>
  </si>
  <si>
    <t>Ativação da expressão gênica (luciferase/bioluminescência); produção de riboflavina</t>
  </si>
  <si>
    <t>Ensaio de luciferase in vitro; bioluminescência in vivo (luxABCDE); HPLC para riboflavina</t>
  </si>
  <si>
    <t>Cepa B. subtilis sem sRNA (parental)</t>
  </si>
  <si>
    <t>Espécie diferente de D. maidis; tecnologia de sRNA para ativação de genes, não RNAi para knockdown; não envolve dsRNA nem entrega oral a inseto</t>
  </si>
  <si>
    <t>Útil para engenharia do chassi; não sustenta entrega nem eficácia de RNAi em inseto.</t>
  </si>
  <si>
    <t>Sem parametro, sem endpoint, sem grau atribuido.</t>
  </si>
  <si>
    <t>21/05</t>
  </si>
  <si>
    <t>Probiotics expressing double-stranded RNA targeting VP28 efficiently protect shrimps from WSSV infection</t>
  </si>
  <si>
    <t>10.1016/j.aqrep.2022.101067</t>
  </si>
  <si>
    <t>Aquaculture Reports</t>
  </si>
  <si>
    <t>P008</t>
  </si>
  <si>
    <t>Litopenaeus vannamei</t>
  </si>
  <si>
    <t>VP28 (gene estrutural do vírus WSSV; alvo do dsRNA hairpin)</t>
  </si>
  <si>
    <t>Bactéria oral (probiótico administrado por imersão em água do tanque, 1x/dia por 5 dias, antes de desafio oral com WSSV)</t>
  </si>
  <si>
    <t>dsRNA bacteriano (hairpin dsVP28, vetor pWH1520, expresso em Lactobacillus plantarum ou Lactococcus lactis)</t>
  </si>
  <si>
    <t>4,5 × 10¹⁰</t>
  </si>
  <si>
    <t>CFU/2 L</t>
  </si>
  <si>
    <t>5 dias de imersão com probiótico; mortalidade acumulada avaliada até 5 dias pós-infecção (dpi)</t>
  </si>
  <si>
    <t>mortalidade_cumulativa (100X ds-L. lactis, 5 dpi)</t>
  </si>
  <si>
    <t>carga_viral_WSSV (log cópias, 3 dpi)</t>
  </si>
  <si>
    <t>2.88 ± 0.18 (vs. 6.28 ± 0.61 no grupo positivo sem probiótico)</t>
  </si>
  <si>
    <t>Contagem diária de sobreviventes; qPCR de carga viral; qRT-PCR de expressão gênica</t>
  </si>
  <si>
    <t>Grupo positivo (desafiado com WSSV, sem probiótico) e L. lactis selvagem sem dsVP28 na mesma dose (69% de mortalidade)</t>
  </si>
  <si>
    <t>Camarão (crustáceo aquático); entrega via probiótico por imersão em água — mecanismo de administração muito distante de inseto terrestre sugador.</t>
  </si>
  <si>
    <t>Biofábrica / prova de conceito de entrega bacteriana de dsRNA</t>
  </si>
  <si>
    <t>Usar apenas como evidência qualitativa de que bactérias probióticas (Lactobacillus/Lactococcus) podem expressar dsRNA funcional e reduzir mortalidade viral; não extrapolar valores quantitativos para D. maidis/Bacillus sem validação própria.</t>
  </si>
  <si>
    <t>Manter separado do estudo de ScienceAsia; conferir método, endpoint e grupo controle no artigo primário.</t>
  </si>
  <si>
    <t>Campo 'Rota de entrega' contem texto gerado sem correspondencia com o vocabulario controlado. Reextrair da fonte.</t>
  </si>
  <si>
    <t>25/05</t>
  </si>
  <si>
    <t>2020</t>
  </si>
  <si>
    <t>Bacillus subtilis expressing dsVP28 improved shrimp survival from WSSV challenge</t>
  </si>
  <si>
    <t>10.2306/scienceasia1513-1874.2020.s003</t>
  </si>
  <si>
    <t>ScienceAsia</t>
  </si>
  <si>
    <t>VP28</t>
  </si>
  <si>
    <t>Bactéria oral (aditivo via água/ração restrita em aquário limpo esterilizado de teste isolado zoológico comparativo patológico marinho)</t>
  </si>
  <si>
    <t>dsRNA bacteriano (hairpin dsVP28 do plasmídeo pBE:cDNA4 em B. subtilis)</t>
  </si>
  <si>
    <t>taxa_sobrevivencia_grupo</t>
  </si>
  <si>
    <t xml:space="preserve">0.917 (91.7%, aos 7 dpi — cai para 0.292 (29.2%) aos 14 dpi) </t>
  </si>
  <si>
    <t>Sobrevivência imunológica e letalidade crônica do WSSV viral circulante inter-peneídeo em grupo</t>
  </si>
  <si>
    <t>9.46 µM·s⁻¹ (Página 7 - Saturation Curves and Enzyme Kinetics)</t>
  </si>
  <si>
    <t>Contagem diária de sobreviventes (bioensaio de sobrevivência)</t>
  </si>
  <si>
    <t>Controle positivo = dieta comercial sem B. subtilis, desafiado com WSSV (28.6% de sobrevivência aos 7 dpi; 9.5% aos 14 dpi). NÃO é grupo injetado — a injeção é um experimento diferente do mesmo artigo.</t>
  </si>
  <si>
    <t>Organismo biológico crustáceo difere absolutamente no modo e via nutricional estática em relação a todo arquétipo inseto e em relação a estilete.</t>
  </si>
  <si>
    <t>Validação do potencial da biofábrica industrial</t>
  </si>
  <si>
    <t>Reconhecer que se o esporo puder infiltrar a seiva e atravessar as dsRNases ele suportaria proteção imunológica plena.</t>
  </si>
  <si>
    <t>Ratificou a preservação conformacional celular das cepas de bacilo na ausência de RNase e indução segura da proteção letal contínua de grupo experimental fechado. | Consolidado a partir do registro incompleto previamente existente. Conferir artigo primário antes do uso quantitativo.</t>
  </si>
  <si>
    <t>Corrigido</t>
  </si>
  <si>
    <t>26/05</t>
  </si>
  <si>
    <t>2024</t>
  </si>
  <si>
    <t>A spray-induced gene silencing strategy for Spodoptera frugiperda oviposition inhibition using nanomaterial-encapsulated dsEcR</t>
  </si>
  <si>
    <t>https://doi.org/10.1016/j.ijbiomac.2024.136503</t>
  </si>
  <si>
    <t>International Journal of Biological Macromolecules</t>
  </si>
  <si>
    <t>Spodoptera frugiperda</t>
  </si>
  <si>
    <t>dsEcR</t>
  </si>
  <si>
    <t>1000 +</t>
  </si>
  <si>
    <t>72 horas</t>
  </si>
  <si>
    <t>redução_ovos_por_fêmea</t>
  </si>
  <si>
    <t>~44% vs. controle dsGFP/SPc (72h pós-pulverização)</t>
  </si>
  <si>
    <t>qRT-PCR (transcrito EcR); contagem de ovos por fêmea</t>
  </si>
  <si>
    <t>dsGFP/SPc/detergente (mantém). O artigo também compara com dsEcR/DEPC/detergente (sem nanopartícula), mostrando que o SPc é necessário para o efeito.</t>
  </si>
  <si>
    <t>Lepidóptero mastigador; sistema de entrega distante da alimentação estiletar de D. maidis</t>
  </si>
  <si>
    <t>Forma do dsRNA / estabilidade ambiental</t>
  </si>
  <si>
    <t>Hemiptero, planta transgenica. Prior fraco.</t>
  </si>
  <si>
    <t>µM·s⁻¹</t>
  </si>
  <si>
    <t>NIHT1</t>
  </si>
  <si>
    <t>42.7%–59.3%</t>
  </si>
  <si>
    <t>Michaelis-Menten em lepidoptero. Mesmo alerta de unidade das linhas 7-9.</t>
  </si>
  <si>
    <t>Spodoptera litura</t>
  </si>
  <si>
    <t>25 min</t>
  </si>
  <si>
    <t>13.4 µM·s⁻¹</t>
  </si>
  <si>
    <t>2.28 µM</t>
  </si>
  <si>
    <t>Campo 'Endpoint' contem texto gerado. Alem disso, 95 ug/mL conflita ~28x com a linha 5. Reextrair.</t>
  </si>
  <si>
    <t>Large-scale production and antiviral efficacy of multi-target double-stranded RNA for the prevention of white spot syndrome virus (WSSV) in shrimp</t>
  </si>
  <si>
    <t>BMC Biotechnology</t>
  </si>
  <si>
    <t>Fermentação (fed-batch, alimentação contínua de glicerol, 30 h, biorreator 10 L, meio TB)</t>
  </si>
  <si>
    <t>Plasmídeo interno (vetor hairpin derivado de pDrive; NÃO é L4440 — não confirmado no artigo)</t>
  </si>
  <si>
    <t>95.0 ± 21.5 µg/mL</t>
  </si>
  <si>
    <t>Produtividade de dsRNA em fermentação fed-batch (30 h, biorreator 10 L, alimentação com glicerol, meio TB) — ~30x a batelada</t>
  </si>
  <si>
    <t>Extração fenol e quantificação ótica UV</t>
  </si>
  <si>
    <t>Fermentação em batelada (linha 5), mesmo biorreator de 10 L</t>
  </si>
  <si>
    <t>Linhagem microbiana imprópria com fins filosóficos industriais e não agro-compatível.</t>
  </si>
  <si>
    <t>Gate de Titer-alvo do Biofábrica e payload</t>
  </si>
  <si>
    <t>Estipular alvos volumétricos da fermentação de Bacillus baseados neste salto de 30x por hipernutrição contínua celular controlada.</t>
  </si>
  <si>
    <t>Demonstra a maleabilidade elástica massiva inerente das colônias mutadas sob regime exato e suprimento de nitrogênio rico basal para bioconversão dsRNA direto. | Fonte incompleta no relatório; identificar título integral, autores, ano e DOI antes do uso quantitativo.</t>
  </si>
  <si>
    <t>P009</t>
  </si>
  <si>
    <t>Campos corrigidos e preenchidos e colocado em "usar como ressalva"</t>
  </si>
  <si>
    <t>RNA Interference Is Enhanced by Knockdown of Double-Stranded RNases in the Yellow Fever Mosquito Aedes aegypti</t>
  </si>
  <si>
    <t>10.3390/insects11060327</t>
  </si>
  <si>
    <t>Insects</t>
  </si>
  <si>
    <t>Aedes aegypti</t>
  </si>
  <si>
    <t>Gus</t>
  </si>
  <si>
    <t>3.06 µM (Página 10 - Discussion)</t>
  </si>
  <si>
    <t>In vitro (ensaio ex vivo com extrato de intestino médio dissecado)</t>
  </si>
  <si>
    <t>ng</t>
  </si>
  <si>
    <t>60 min</t>
  </si>
  <si>
    <t>tempo_degradacao_total</t>
  </si>
  <si>
    <t>Não verificável como "4 min" — texto do artigo relata apenas que o extrato de intestino normal degrada quase todo o dsRNA em ≤30 min, e que após knockdown de dsRNase (ds4103) não há degradação significativa até 60 min. Valor numérico preciso exigiria digitalização da Figura 3 (WebPlotDigitizer) por um humano.</t>
  </si>
  <si>
    <t>Análise gel e espectro</t>
  </si>
  <si>
    <t>Eletroforese em gel de agarose 1.5%; intensidade de banda relativa (software Image Lab); teste de Wilcoxon rank-sum vs. controle dsDsRed</t>
  </si>
  <si>
    <t>Mosquito hematófago (Diptera), não Hemiptera; ensaio é ex vivo com extrato de intestino de larva dissecado (não com o inseto vivo intacto); a cinética exata de degradação (k_deg) não pôde ser confirmada em texto — só a tendência qualitativa (ver Valor 1).</t>
  </si>
  <si>
    <t>Modelo cinético de degradação (k_deg) por dsRNase intestinal</t>
  </si>
  <si>
    <t>Prover taxa limitante grave nos modelos onde RNase livre circula pelo meio líquido gástrico ativo em contato sem proteção.</t>
  </si>
  <si>
    <t>Destruição quase imediata enfatiza risco contundente em expor a dupla fita frágil fosfodiéster ao banho ácido intestinal livre basal do mosquito. | Usar como cenário comparativo; não transferir diretamente para D. maidis sem calibração.</t>
  </si>
  <si>
    <t>Campo 'Endpoint' contem texto gerado. Valor 0.77 sem unidade: fracao? taxa? indeterminado.</t>
  </si>
  <si>
    <t>Cloning and functional characterization of a double-stranded RNA-degrading nuclease in the tawny crazy ant</t>
  </si>
  <si>
    <t>10.3389/fphys.2022.833652</t>
  </si>
  <si>
    <t>Nylanderia fulva</t>
  </si>
  <si>
    <t>2 h</t>
  </si>
  <si>
    <t>degradacao_midgut</t>
  </si>
  <si>
    <t>0.77 (77% degradado; 23% remanescente após 2 h de incubação com fluido do intestino médio)</t>
  </si>
  <si>
    <t>Quebra de matriz in vitro lenta sob a óptica proteica enzimática parcial residual luminal ant nest biológica operária</t>
  </si>
  <si>
    <t>Eletroforese em gel; quantificação por intensidade de banda relativa</t>
  </si>
  <si>
    <t>Controle negativo (0h, sem incubação) e positivo (2h); degradação bloqueada por EDTA ou por calor+SDS, confirmando dependência de cátion divalente</t>
  </si>
  <si>
    <t>Formiga (Hymenoptera, dieta generalista/detritívora) é taxonomicamente muito distante de D. maidis (Hemiptera, dieta floemática); ensaio é ex vivo com fluido de intestino extraído, não com o inseto vivo.</t>
  </si>
  <si>
    <t>Coeficiente k_deg (taxa de degradação) para o modelo de estabilidade do payload</t>
  </si>
  <si>
    <t>Equacionar a perda de 3/4 do payload ao fim da janela estomacal crítica inicial e exigir carreador de fuga.</t>
  </si>
  <si>
    <t>Exibe atividade consideravelmente mais branda perante dípteros confirmando que insetos possuem velocidades e cinéticas variadas singulares de depuração RNAi gástrica. | Usar como cenário comparativo; não transferir diretamente para D. maidis sem calibração.</t>
  </si>
  <si>
    <t>Dado central: reducao de 23,6x em dsRNase-2 e melhora do RNAi oral. Alta prioridade de verificacao e extracao quantitativa.</t>
  </si>
  <si>
    <t>Injeção seguida de dieta artificial</t>
  </si>
  <si>
    <t>48 h de pré-tratamento + 3 dias de dieta oral</t>
  </si>
  <si>
    <t>Redução 23.6x</t>
  </si>
  <si>
    <t>melhora_RNAi_oral</t>
  </si>
  <si>
    <t>Alta</t>
  </si>
  <si>
    <t>Aumento da penetrância do alvo secundário</t>
  </si>
  <si>
    <t>RT-qPCR e Bioensaio fenotípico</t>
  </si>
  <si>
    <t>dsGFP isolado</t>
  </si>
  <si>
    <t>Injeção inviável agronomicamente como etapa primária preparatória.</t>
  </si>
  <si>
    <t>P010</t>
  </si>
  <si>
    <t>Teste de co-entrega e modelo Mix-T</t>
  </si>
  <si>
    <t>Modelar dsRNAs quiméricos duplos para supressão salivar.</t>
  </si>
  <si>
    <t>Consolidação do registro original de Beatriz. Glândulas salivares promoveram degradação completa do dsRNA em até 12 h; intestino médio em 12–24 h. A etapa preparatória por injeção limita a extrapolação agronômica.</t>
  </si>
  <si>
    <t>Manter esta como a linha canonica de Psylliodes; consolidar 39 e 40 aqui.</t>
  </si>
  <si>
    <t>DsRNA-based carriers with pH-tuneable release kinetics for effective
 control of Psylliodes chrysocephala</t>
  </si>
  <si>
    <t>https://doi.org/10.1016/j.ijbiomac.2025.149697</t>
  </si>
  <si>
    <t>Psylliodes chrysocephala</t>
  </si>
  <si>
    <t>dsProsβ6</t>
  </si>
  <si>
    <t>15 Dias</t>
  </si>
  <si>
    <t>Sobrevivência (Mortalidade) aos 15 dias</t>
  </si>
  <si>
    <t>3.58 µM·s⁻¹ (Página 7 - Saturation Curves and Enzyme Kinetics)</t>
  </si>
  <si>
    <t>Caiu para 36,6%</t>
  </si>
  <si>
    <t>Cinética de Liberação</t>
  </si>
  <si>
    <t>Não se aplica (o dsRNA já se encontra livre na solução)</t>
  </si>
  <si>
    <t>Proteção contra Calor (Estresse Térmico a 40°C)</t>
  </si>
  <si>
    <t>Baixa; mostrou degradação extensiva após apenas 4 horas de exposição</t>
  </si>
  <si>
    <t>Proteção contra Radiação UV</t>
  </si>
  <si>
    <t>Baixa; rápida degradação em menos de 4 horas</t>
  </si>
  <si>
    <t>Sobrevivência (efeito letal) e Inibição da alimentação / Consumo de folhas (efeito comportamental/subletal)</t>
  </si>
  <si>
    <t>Bioensaio foliar / ensaio de estabilidade térmica/UV</t>
  </si>
  <si>
    <t>Coleóptero mastigador em rota foliar; fisiologia alimentar distante de D. maidis</t>
  </si>
  <si>
    <t>dsRNA livre em solução</t>
  </si>
  <si>
    <t>Duplicata da linha 38 (mesmo valor de sobrevivencia). Consolidar.</t>
  </si>
  <si>
    <t>DsRNA-based carriers with pH-tuneable release kinetics for effective
  control of Psylliodes chrysocephala</t>
  </si>
  <si>
    <t>nanopartícula / liberação rápida sensível a pH</t>
  </si>
  <si>
    <t>Rápida e responsiva ao pH; foi aproximadamente uma ordem de grandeza mais rápida que a sílica</t>
  </si>
  <si>
    <t>Alta; manteve o dsRNA intacto por até 16 horas de exposição</t>
  </si>
  <si>
    <t>Moderada; os sinais de degradação começaram a aparecer após 6 horas</t>
  </si>
  <si>
    <t>carreador rápido</t>
  </si>
  <si>
    <t>P011</t>
  </si>
  <si>
    <t>nanopartícula / liberação lenta bifásica</t>
  </si>
  <si>
    <t>Lenta e bifásica; controlada por difusão devido ao tamanho restrito dos poros (8 nm) do carreador</t>
  </si>
  <si>
    <t>Alta; manteve o dsRNA intacto por até 12 horas de exposição</t>
  </si>
  <si>
    <t>carreador lento; poros de 8 nm descritos no registro original</t>
  </si>
  <si>
    <t>Sem parametro e sem endpoint.</t>
  </si>
  <si>
    <t>Effectiveness of orally-delivered doublestranded RNA on gene silencing in the stinkbug Plautia stali</t>
  </si>
  <si>
    <t>(https://doi.org/ 10.5061/dryad.x3ffbg7h2).</t>
  </si>
  <si>
    <t>Plautia stali</t>
  </si>
  <si>
    <t>0.27 µM (Página 7 - Saturation Curves and Enzyme Kinetics)</t>
  </si>
  <si>
    <t>vacuolar ATPase (vATPase), inhibitor of apoptosis (IAP), multicopper oxidase 2 (MCO2), and vacuolar-sorting protein Snf7</t>
  </si>
  <si>
    <t>Registro incompleto; verificar DOI bibliográfico do artigo e extrair condições experimentais</t>
  </si>
  <si>
    <t>O DOI registrado parece apontar para conjunto de dados; confirmar referência do artigo primário.</t>
  </si>
  <si>
    <t>LINHA VAZIA MAS DE ALTO VALOR: D. maidis + BicC + dieta artificial, grau 1. Preencher com prioridade maxima.</t>
  </si>
  <si>
    <t>Development of efficient RNAi methods in the corn leafhopper Dalbulus maidis, a promising application for pest control</t>
  </si>
  <si>
    <t>https://doi.org/10.1101/2022.01.17.476645</t>
  </si>
  <si>
    <t>Bicaudal C (BicC)</t>
  </si>
  <si>
    <t>dsRNABicC</t>
  </si>
  <si>
    <t>Poucas informações relevantes para o estudo no dry lab, mas muito importantes para o wet lab</t>
  </si>
  <si>
    <t>P012</t>
  </si>
  <si>
    <r>
      <rPr>
        <rFont val="Arial"/>
        <color rgb="FF434343"/>
        <sz val="10.0"/>
        <u/>
      </rPr>
      <t>38.87 µM·s⁻¹</t>
    </r>
    <r>
      <rPr>
        <rFont val="Arial"/>
        <color rgb="FF1F1F1F"/>
        <sz val="10.0"/>
      </rPr>
      <t xml:space="preserve"> (Página 7 - Saturaion Curves and Enzymatic</t>
    </r>
  </si>
  <si>
    <t>P013</t>
  </si>
  <si>
    <t>17.59 μM</t>
  </si>
  <si>
    <t>P014</t>
  </si>
  <si>
    <t>P015</t>
  </si>
  <si>
    <t>P016</t>
  </si>
  <si>
    <t>P017</t>
  </si>
  <si>
    <t>Total (~100%) (Secção 3.2. Analysis of Dmai-dsRNases transcript levels and dsRNA degradation in different tissues)</t>
  </si>
  <si>
    <t>10.1016/j.pest2023.105618bp.</t>
  </si>
  <si>
    <t>P018</t>
  </si>
  <si>
    <t>Oral - Dieta artificial</t>
  </si>
  <si>
    <t>sobrevivencia / concentração dsRNA</t>
  </si>
  <si>
    <t>~16% e 0,5 μg/μL (500 ng/μL), respectivamente</t>
  </si>
  <si>
    <t>16 e 500</t>
  </si>
  <si>
    <t>% e ng/μL</t>
  </si>
  <si>
    <t>Sobrevivência reduzida</t>
  </si>
  <si>
    <t>P019</t>
  </si>
  <si>
    <t xml:space="preserve">Deformação de asas significativa </t>
  </si>
  <si>
    <t>P020</t>
  </si>
  <si>
    <t>P021</t>
  </si>
  <si>
    <t>Deformação de asas não significativa</t>
  </si>
  <si>
    <t>P022</t>
  </si>
  <si>
    <t>Guia rapido — Banco de Evidencias v2</t>
  </si>
  <si>
    <t>Pipeline do banco (3 etapas)</t>
  </si>
  <si>
    <t>1) Coleta assistida por LLM (feita) -&gt; 2) Triagem de plausibilidade por LLM, supervisionada por humano (feita; aba "Etapa 2 - Triagem LLM (orig)") -&gt; 3) Verificacao humana contra fonte primaria (PENDENTE; entregavel do ciclo atual, aba "Banco v2").</t>
  </si>
  <si>
    <t>Por que a Etapa 2 nao basta</t>
  </si>
  <si>
    <t>Na Etapa 2, o humano avaliou o veredito do LLM sobre cada linha, mas nao abriu o artigo original. Isso captura incoerencias grosseiras, mas nao captura erro de extracao silenciosa (ex.: mesma fonte gerando dois valores incompativeis) nem fabricacao plausivel de valor ou DOI.</t>
  </si>
  <si>
    <t>Regra central</t>
  </si>
  <si>
    <t>Cada linha do "Banco v2" = uma condicao experimental unica (especie x alvo x rota x dose x tempo). Cada linha de "Parametros (long)" = um unico parametro medido.</t>
  </si>
  <si>
    <t>Fluxo de trabalho</t>
  </si>
  <si>
    <t>1) Triagem (ja preenchida) -&gt; 2) Verificacao humana da fonte primaria -&gt; 3) Preenchimento de valor_num, unidade, incerteza e n -&gt; 4) usar_em_modelo = sim -&gt; 5) exportacao para a Modelagem.</t>
  </si>
  <si>
    <t>Verificacao humana</t>
  </si>
  <si>
    <t>Abrir o artigo. Localizar o valor na figura ou tabela. Registrar nome e data em "Verificado por (humano)". Triagem automatizada por LLM NAO conta como verificacao.</t>
  </si>
  <si>
    <t>Valores de figura</t>
  </si>
  <si>
    <t>Usar WebPlotDigitizer e salvar o arquivo de projeto no repositorio, na mesma pasta do artigo.</t>
  </si>
  <si>
    <t>Regra de ouro do valor</t>
  </si>
  <si>
    <t>Nunca escrever unidade dentro de "valor_num". Numero puro em valor_num; unidade em "unidade"; tudo o mais em "Observacao".</t>
  </si>
  <si>
    <t>Incerteza</t>
  </si>
  <si>
    <t>Registrar sempre incerteza_tipo, incerteza_valor e n. Um valor sem n nao pode virar prior ponderada.</t>
  </si>
  <si>
    <t>Transferibilidade 1</t>
  </si>
  <si>
    <t>Direta: D. maidis, mesma rota de entrega e mesmo estagio de vida.</t>
  </si>
  <si>
    <t>Transferibilidade 2</t>
  </si>
  <si>
    <t>Parcialmente direta: D. maidis, mas rota, estagio ou endpoint diferentes.</t>
  </si>
  <si>
    <t>Transferibilidade 3</t>
  </si>
  <si>
    <t>Indireta: outro Hemiptera ou sugador com mecanismo analogo.</t>
  </si>
  <si>
    <t>Transferibilidade 4</t>
  </si>
  <si>
    <t>Especulativa: outra ordem, outro sistema, ensaio in vitro sem correspondencia fisiologica.</t>
  </si>
  <si>
    <t>Derivado automaticamente do grau. Define a largura da prior log-normal na Modelagem: log10(theta) ~ N(log10(valor), sigma^2). Grau 1=0,10 (~+-30%); 2=0,25 (~fator 2); 3=0,50 (~fator 3); 4=1,00 (~1 ordem de grandeza).</t>
  </si>
  <si>
    <t>"literatura" = amostrado da prior. "ajustado" = amostrado da posterior apos dados proprios. Trocar o modo deve ser uma edicao de uma celula, nunca uma reescrita de notebook.</t>
  </si>
  <si>
    <t>Teste de qualidade da linha</t>
  </si>
  <si>
    <t>A linha deve permitir escrever: "no artigo X, em &lt;especie&gt;, a &lt;dose&gt; pela rota &lt;R&gt; durante &lt;t&gt; produziu &lt;parametro&gt; = &lt;valor&gt; +- &lt;incerteza&gt; (n=&lt;n&gt;), medido por &lt;metodo&gt;, contra o controle &lt;C&gt;."</t>
  </si>
  <si>
    <t>Criterio de bloqueio</t>
  </si>
  <si>
    <t>Nenhum parametro entra em modelo quantitativo sem: valor_num, unidade, grau e verificacao humana. Sem isso, usar apenas qualitativamente.</t>
  </si>
  <si>
    <t>Knockdown não significativo em 2 dias</t>
  </si>
  <si>
    <t>P023</t>
  </si>
  <si>
    <t>aproximadamente 1600 ovos sentinela (Página 3 - Primeiro paragrafo)</t>
  </si>
  <si>
    <t>P024</t>
  </si>
  <si>
    <t>923 vespas emergidas (Página 3 - Primeiro paragrafo)</t>
  </si>
  <si>
    <t>vespas emergidas</t>
  </si>
  <si>
    <t>P025</t>
  </si>
  <si>
    <t>táxons: Anagrus breviphragma; Polynema sp.; Paracentrobia nr subflava; Aphelinoidea sp.; Pseudoligosita sp.</t>
  </si>
  <si>
    <t>P026</t>
  </si>
  <si>
    <t>P027</t>
  </si>
  <si>
    <t>El Grullo: 419 parasitoides; Zapopan: 504 parasitoides (Table 2)</t>
  </si>
  <si>
    <t>P028</t>
  </si>
  <si>
    <r>
      <rPr>
        <rFont val="Arial"/>
        <color rgb="FF1155CC"/>
        <sz val="10.0"/>
        <u/>
      </rPr>
      <t>aproximadamente 90–95% dos animais</t>
    </r>
    <r>
      <rPr>
        <rFont val="Arial"/>
        <sz val="10.0"/>
      </rPr>
      <t xml:space="preserve"> (Se encontra em duas seções, uma delas está linkada)</t>
    </r>
  </si>
  <si>
    <t>P029</t>
  </si>
  <si>
    <t>P030</t>
  </si>
  <si>
    <t>times</t>
  </si>
  <si>
    <t>P031</t>
  </si>
  <si>
    <t>mM em placas NGM-RNAi</t>
  </si>
  <si>
    <t>P032</t>
  </si>
  <si>
    <t>bp</t>
  </si>
  <si>
    <t>P033</t>
  </si>
  <si>
    <t>População México &gt;1000 m; média ~26 ovos/fêmea em 5 dias; sem SD/EP.</t>
  </si>
  <si>
    <t>P034</t>
  </si>
  <si>
    <t>População México &lt;1000 m; média ~13 ovos/fêmea em 5 dias; sem SD/EP.</t>
  </si>
  <si>
    <t>P035</t>
  </si>
  <si>
    <t>~20 ovos/fêmea em 5 dias (Média figura 1)</t>
  </si>
  <si>
    <t>BioGuard | Banco de Evidencias v2 — Resumo da triagem</t>
  </si>
  <si>
    <t>Meta do ciclo</t>
  </si>
  <si>
    <t>Indicador</t>
  </si>
  <si>
    <t>Valor</t>
  </si>
  <si>
    <t>1. Verificar humanamente as 16 linhas marcadas "1 - Verificar".</t>
  </si>
  <si>
    <t>Linhas no banco</t>
  </si>
  <si>
    <t>População Argentina &gt;1000 m; média ~20 ovos/fêmea em 5 dias; sem SD/EP</t>
  </si>
  <si>
    <t>P036</t>
  </si>
  <si>
    <t>2. Reextrair ou remover as 12 linhas marcadas "3 - Nao usar".</t>
  </si>
  <si>
    <t>3. Preencher incerteza e n para toda linha com usar_em_modelo = sim.</t>
  </si>
  <si>
    <t>ovos</t>
  </si>
  <si>
    <t>4. Entregar a Modelagem apenas os parametros verificados (parameters.yaml).</t>
  </si>
  <si>
    <t>5. Fechar pelo menos uma lacuna: prioridade em k_deg (extrair curva C(t)).</t>
  </si>
  <si>
    <t>Linhas verificadas por humano</t>
  </si>
  <si>
    <t>Pares parametro-valor</t>
  </si>
  <si>
    <t>Oviposição zerada após injeção; sem dados de variabilidade</t>
  </si>
  <si>
    <t>Com valor numerico extraido</t>
  </si>
  <si>
    <t>P037</t>
  </si>
  <si>
    <t>Com unidade registrada</t>
  </si>
  <si>
    <t>Com incerteza registrada</t>
  </si>
  <si>
    <t>0.9</t>
  </si>
  <si>
    <t>Com n registrado</t>
  </si>
  <si>
    <t>proporção</t>
  </si>
  <si>
    <t>Marcados usar_em_modelo = sim</t>
  </si>
  <si>
    <t>Grau 1 - Direta</t>
  </si>
  <si>
    <t>Grau 2 - Parcialmente direta</t>
  </si>
  <si>
    <t>Grau 3 - Indireta</t>
  </si>
  <si>
    <t xml:space="preserve">Sobrevivência alta </t>
  </si>
  <si>
    <t>Grau 4 - Especulativa</t>
  </si>
  <si>
    <t>P038</t>
  </si>
  <si>
    <t>Oviposição zerada após injeção; resultado consistente com P036</t>
  </si>
  <si>
    <t>P039</t>
  </si>
  <si>
    <t>Sobrevivência alta (~90%)</t>
  </si>
  <si>
    <t>P040</t>
  </si>
  <si>
    <t>Alta redução (qPCR) (Informações contidas na seção 3.4)</t>
  </si>
  <si>
    <t>P&lt;0,05</t>
  </si>
  <si>
    <t>Knockdown BicC por dieta artificial; alta redução confirmada por qPCR.</t>
  </si>
  <si>
    <t>P041</t>
  </si>
  <si>
    <t>Queda drástica (transcritos BicC) (Informações contidas na seção 3.4)</t>
  </si>
  <si>
    <t>P&lt;0,01</t>
  </si>
  <si>
    <t>Knockdown BicC por dieta artificial; queda drástica de transcritos BicC (P&lt;0.01).</t>
  </si>
  <si>
    <t>P042</t>
  </si>
  <si>
    <t>P043</t>
  </si>
  <si>
    <t>P044</t>
  </si>
  <si>
    <t>P045</t>
  </si>
  <si>
    <t>P046</t>
  </si>
  <si>
    <t>ninfas</t>
  </si>
  <si>
    <t>P047</t>
  </si>
  <si>
    <t>µL</t>
  </si>
  <si>
    <t>P048</t>
  </si>
  <si>
    <t>vezes</t>
  </si>
  <si>
    <t>P049</t>
  </si>
  <si>
    <t>P050</t>
  </si>
  <si>
    <t>P051</t>
  </si>
  <si>
    <t>Alterado a extração do texto para a porcentagem original</t>
  </si>
  <si>
    <t>P052</t>
  </si>
  <si>
    <t>P053</t>
  </si>
  <si>
    <t>Humano supervisor da triagem</t>
  </si>
  <si>
    <t>Condição-chave</t>
  </si>
  <si>
    <t>Status da triagem de plausibilidade</t>
  </si>
  <si>
    <t>Prioridade</t>
  </si>
  <si>
    <t>Confianca da triagem (NAO e verificacao contra fonte)</t>
  </si>
  <si>
    <t>Usar em modelo?</t>
  </si>
  <si>
    <t>Achado da triagem de plausibilidade</t>
  </si>
  <si>
    <t>Problemas detectados</t>
  </si>
  <si>
    <t>Correção/ação sugerida</t>
  </si>
  <si>
    <t>Fonte consultada pela triagem (pode nao ser a fonte primaria)</t>
  </si>
  <si>
    <t>Ferramenta usada (LLM, supervisionado por humano)</t>
  </si>
  <si>
    <t>Data da triagem</t>
  </si>
  <si>
    <t>P054</t>
  </si>
  <si>
    <t>Dieta artificial | dsRNA nu | 500 ng/µL | 2 dias</t>
  </si>
  <si>
    <t>Pendente de verificação primária</t>
  </si>
  <si>
    <t>Baixa-média</t>
  </si>
  <si>
    <t>Usar apenas qualitativamente até conferir o preprint/PDF</t>
  </si>
  <si>
    <t>Título/DOI são plausíveis, mas a página do bioRxiv não foi acessível na revisão automatizada. Valores de sobrevivência, deformação e janela temporal precisam ser conferidos no texto/figuras.</t>
  </si>
  <si>
    <t>Nenhum problema crítico identificado nesta rodada</t>
  </si>
  <si>
    <t>Manter como condição temporal separada, mas confirmar se o ponto de 2 dias foi realmente não significativo para a subunidade indicada.</t>
  </si>
  <si>
    <t>https://doi.org/10.1101/2021.09.29.462424</t>
  </si>
  <si>
    <t>ChatGPT - revisão científica cautelosa</t>
  </si>
  <si>
    <t>2026-06-18</t>
  </si>
  <si>
    <t>Foliar | NA | NA NA | 20 h</t>
  </si>
  <si>
    <t>Parcialmente confirmada</t>
  </si>
  <si>
    <t>Média</t>
  </si>
  <si>
    <t>Pode ser usada para raciocínio de gate de entrega; números específicos exigem conferência de tabela/raw data</t>
  </si>
  <si>
    <t>Fonte aberta confirmou estudo EPG com registros de 20 h, DK670 suscetível e DK390 resistente; confirma qualitativamente mais probes curtos em DK390 e dificuldades de ingestão no floema. O valor 313.97 min e a proporção ~80% não foram localizados no texto HTML disponível.</t>
  </si>
  <si>
    <t>Valor numérico específico não confirmado no texto HTML consultado</t>
  </si>
  <si>
    <t>Conferir Tabela 2, Tabela 3 ou raw data suplementar antes de usar 313.97 min ou ~80% em modelo.</t>
  </si>
  <si>
    <t>https://journals.plos.org/plosone/article?id=10.1371/journal.pone.0259481</t>
  </si>
  <si>
    <t>Manter com cautela; conferir fonte primária antes de uso quantitativo</t>
  </si>
  <si>
    <t>Fermentação | Plasmídeo interno (L4440) | NA NA | NA</t>
  </si>
  <si>
    <t>Corrigir antes de usar</t>
  </si>
  <si>
    <t>Baixa</t>
  </si>
  <si>
    <t>Não usar em modelo quantitativo</t>
  </si>
  <si>
    <t>Registro bibliográfico incompleto. Os valores de 3.4 µg/mL e 95 µg/mL podem estar corretos, mas não foram rastreados a um artigo primário identificável nesta revisão.</t>
  </si>
  <si>
    <t>DOI ausente ou incompleto | Referência sem DOI e título incompleto</t>
  </si>
  <si>
    <t>Identificar artigo primário, autores, ano, DOI e método de quantificação antes de manter como evidência operacional.</t>
  </si>
  <si>
    <t>Fonte secundária citada como PMC8473835; DOI e título integral não informados na planilha</t>
  </si>
  <si>
    <t>NA | NA | NA NA | 5 dias</t>
  </si>
  <si>
    <t>Usar como prior fraco até conferir artigo/tabela</t>
  </si>
  <si>
    <t>DOI e título são plausíveis, porém o artigo não foi acessado em texto completo na revisão automatizada. Os valores de ovos/fêmea precisam ser conferidos na tabela original.</t>
  </si>
  <si>
    <t>Confirmar se os valores (~13, ~20, ~26 ovos/fêmea em 5 dias) correspondem às populações/altitudes indicadas.</t>
  </si>
  <si>
    <t>https://doi.org/10.1603/AN09164</t>
  </si>
  <si>
    <t>In vitro | dsRNA nu | 500 µM | NA</t>
  </si>
  <si>
    <t>Corrigir campo de dose; parâmetros confirmados</t>
  </si>
  <si>
    <t>Usar parâmetros Vmax/Km apenas como cenário comparativo, não como parâmetro direto para D. maidis</t>
  </si>
  <si>
    <t>Fonte confirma substrato final de dsRNA marcado a 0.5 µM e confirma Vmax/Km: S. litura 13.40/2.28, L. migratoria 9.46/3.06, P. americana 3.58/0.27, Z. atratus 38.87/17.59.</t>
  </si>
  <si>
    <t>Valor da dose está como 500 µM; fonte indica 0.5 µM</t>
  </si>
  <si>
    <t>Corrigir Valor da dose para 0.5 mantendo Unidade da dose = µM.</t>
  </si>
  <si>
    <t>https://www.frontiersin.org/journals/physiology/articles/10.3389/fphys.2018.00624/full</t>
  </si>
  <si>
    <t>Não informado | NA | NA NA | &gt; 2 semanas</t>
  </si>
  <si>
    <t>Usar qualitativamente até conferir artigo</t>
  </si>
  <si>
    <t>Título/DOI indicam estudo específico de D. maidis, mas o texto completo não foi acessado nesta revisão. Valores de fertilidade/tempo precisam de conferência.</t>
  </si>
  <si>
    <t>Completar decisão afetada e ação recomendada se estiverem vazias na linha principal.</t>
  </si>
  <si>
    <t>https://doi.org/10.1002/ps.70227</t>
  </si>
  <si>
    <t>In vitro | dsRNA nu | NA NA | 12 h</t>
  </si>
  <si>
    <t>Média-baixa</t>
  </si>
  <si>
    <t>Usar como hipótese forte, mas não como valor quantitativo final até conferir artigo</t>
  </si>
  <si>
    <t>DOI/título indicam artigo primário relevante para dsRNase-2 em D. maidis. A fonte primária Elsevier não foi acessível na revisão automatizada; valores de 12 h, 12–24 h e redução 23.6x precisam ser conferidos no artigo.</t>
  </si>
  <si>
    <t>Manter linha ex vivo separada para k_deg, porém confirmar se o ensaio foi glândula salivar, intestino médio ou outro tecido e qual controle foi usado.</t>
  </si>
  <si>
    <t>https://doi.org/10.1016/j.pestbp.2023.105618</t>
  </si>
  <si>
    <t>P055</t>
  </si>
  <si>
    <t>Dieta artificial | dsRNA nu | 500 ng/µL | 4 dias</t>
  </si>
  <si>
    <t>Confirmar no preprint se os valores de sobrevivência (~16% ou ~18%) correspondem exatamente ao alvo B/D e ao quarto dia.</t>
  </si>
  <si>
    <t>Coleta de ovos sentinela em campo | NA | NA NA | 72–96 h de exposição em campo; ovos com menos de 24 h</t>
  </si>
  <si>
    <t>Usar como contexto ecológico, não como parâmetro direto de RNAi</t>
  </si>
  <si>
    <t>DOI/título indicam estudo observacional em D. maidis. Dados de ovos/parasitoides devem ser conferidos no texto primário.</t>
  </si>
  <si>
    <t>Manter fora de decisões de potência molecular; usar apenas para contexto populacional/ecológico.</t>
  </si>
  <si>
    <t>https://doi.org/10.1653/024.092.0316</t>
  </si>
  <si>
    <t>Bactéria oral; alimentação em placa NGM contendo B. subtilis recombinante | dsRNA bacteriano produzido em B. subtilis ΔrncS por vetor pBSR-GFP com promotores Pspac bidirecionais | NA NA | 24 h de alimentação</t>
  </si>
  <si>
    <t>Confirmada com limitação de transferibilidade</t>
  </si>
  <si>
    <t>Pode sustentar biofábrica/chassi em modelo distante; não usar para entrega em D. maidis</t>
  </si>
  <si>
    <t>Fonte confirma pBSR-GFP com fragmento de 750 bp e redução de fluorescência em ~90% dos vermes, com DAF-16::GFP residual de 3% e SUR-5::GFP quase 6 vezes menor.</t>
  </si>
  <si>
    <t>Preservar grau 4 - Especulativa; separar claramente biofábrica de entrega para cigarrinha.</t>
  </si>
  <si>
    <t>https://journals.plos.org/plosone/article?id=10.1371/journal.pone.0124508</t>
  </si>
  <si>
    <t>Injeção | dsRNA nu | 100 ng/µL | 7 dias</t>
  </si>
  <si>
    <t>Usar apenas após conferir artigo Wiley/PDF</t>
  </si>
  <si>
    <t>DOI/título são plausíveis e o artigo é central para BicC em D. maidis, mas a fonte Wiley não foi acessível via revisão automatizada. Valores de ~0 ovos, 90% sobrevivência e knockdown precisam ser conferidos no texto/figuras.</t>
  </si>
  <si>
    <t>Substituir descrições qualitativas por valores extraídos de tabela/figura ou marcar explicitamente como qualitativo.</t>
  </si>
  <si>
    <t>https://doi.org/10.1002/ps.6937</t>
  </si>
  <si>
    <t>P056</t>
  </si>
  <si>
    <t>Injeção | dsRNA nu | 200 ng/µL | 7 dias</t>
  </si>
  <si>
    <t>Dieta artificial | dsRNA nu | 200 ng/µL | 3 dias</t>
  </si>
  <si>
    <t>Fermentação (fed-batch contínua)</t>
  </si>
  <si>
    <t>Dieta artificial | dsRNA nu | 100 ng/µL | 3 dias</t>
  </si>
  <si>
    <t>95.0 ±  21.5 µg/mL</t>
  </si>
  <si>
    <t>Planta transgênica | Planta expressando dsRNA | NA NA | 2 a 4 dias</t>
  </si>
  <si>
    <t>Confirmada com ajustes de precisão</t>
  </si>
  <si>
    <t>Usar como evidência indireta para RNAi oral via planta, não para dose absoluta</t>
  </si>
  <si>
    <t>Fonte confirma que ninfas de 3º instar foram alimentadas 2–4 dias em arroz transgênico e que NlHT1 reduziu 59.3/42.7% no dia 4, Nlcar 42.1/43.3% máximo no dia 2, Nltry 61/73.3% no dia 4; sem fenótipo letal significativo.</t>
  </si>
  <si>
    <t>Especificar que o máximo de Nlcar ocorreu no dia 2, embora a janela experimental seja 2–4 dias.</t>
  </si>
  <si>
    <t>https://journals.plos.org/plosone/article?id=10.1371/journal.pone.0020504</t>
  </si>
  <si>
    <t>Nitry corresponde a Nltry; padronizar grafia como Nltry se for manter nomenclatura do artigo.</t>
  </si>
  <si>
    <t>Hemiptera: psilídeos, cigarrinhas e mosca-branca</t>
  </si>
  <si>
    <t>RNAi oral em hemípteros</t>
  </si>
  <si>
    <t>Não informado | dsRNA com pirimidinas modificadas | NA NA | NA</t>
  </si>
  <si>
    <t>Contexto/revisão; não é linha experimental</t>
  </si>
  <si>
    <t>Não usar como linha quantitativa</t>
  </si>
  <si>
    <t>O registro parece ser artigo/revisão metodológica, não uma condição experimental específica.</t>
  </si>
  <si>
    <t>Não atende regra de uma linha = uma condição experimental</t>
  </si>
  <si>
    <t>Mover para aba de literatura contextual ou extrair artigos primários citados.</t>
  </si>
  <si>
    <t>Ajustado valor original e inserido o DOI correspondente ao artigo</t>
  </si>
  <si>
    <t>Usar apenas como analogia de maquinaria RNAi em hemíptero</t>
  </si>
  <si>
    <t>DOI/título plausíveis, mas a fonte primária não foi acessada. Atenção: a planilha mostra dose como 500 ng/µL em algumas renderizações, mas a extração anterior indicava 0.5 ng/µL.</t>
  </si>
  <si>
    <t>Possível erro de escala no Valor da dose; verificar se era 0.5 ng/µL</t>
  </si>
  <si>
    <t>Conferir no artigo se o valor correto é 0.5 ng/µL.</t>
  </si>
  <si>
    <t>https://doi.org/10.1111/j.1744-7917.2012.01539.x</t>
  </si>
  <si>
    <t>P057</t>
  </si>
  <si>
    <t>Fermentação | sRNA sintético | NA NA | NA</t>
  </si>
  <si>
    <t>Contexto de chassi; não evidência de RNAi em inseto</t>
  </si>
  <si>
    <t>Não usar em modelo de RNAi/entrega</t>
  </si>
  <si>
    <t>O estudo é sobre sRNAs/riboswitches em B. subtilis, útil como inspiração de engenharia do chassi, mas não mede dsRNA, RNAi em inseto ou entrega.</t>
  </si>
  <si>
    <t>Manter apenas em aba de contexto ou biofábrica; não classificar como evidência de eficácia contra D. maidis.</t>
  </si>
  <si>
    <t>https://doi.org/10.1101/2021.06.21.449321</t>
  </si>
  <si>
    <t>SID-1, Dcr-2, PX, proPO I, ALF1</t>
  </si>
  <si>
    <t>NA | NA | 4,5 × 10¹⁰ CFU/2 L | NA</t>
  </si>
  <si>
    <t>Registro incompleto; pendente de extração</t>
  </si>
  <si>
    <t>Não usar até completar endpoint/método/controle</t>
  </si>
  <si>
    <t>Linha muito incompleta e sistema distante. Pode servir apenas para biofábrica/entrega em crustáceo se extraída corretamente.</t>
  </si>
  <si>
    <t>Campos científicos centrais ausentes</t>
  </si>
  <si>
    <t>Completar rota, forma, endpoint, método e controle ou mover para triagem.</t>
  </si>
  <si>
    <t>https://doi.org/10.1016/j.aqrep.2022.101067</t>
  </si>
  <si>
    <t>Bactéria oral (aditivo via água/ração restrita em aquário limpo esterilizado de teste isolado zoológico comparativo patológico marinho) | dsRNA bacteriano | NA NA | NA</t>
  </si>
  <si>
    <t>4 min</t>
  </si>
  <si>
    <t>Usar apenas como evidência distante de biofábrica/entrega oral em crustáceo</t>
  </si>
  <si>
    <t>Registro é distante de D. maidis. A fonte primária não foi acessível nesta revisão; valor de 91.67% deve ser conferido no artigo.</t>
  </si>
  <si>
    <t>Evitar frase sugerindo que esporo infiltrando seiva suportaria eficácia; isso é uma inferência não testada.</t>
  </si>
  <si>
    <t>https://doi.org/10.2306/scienceasia1513-1874.2020.s003</t>
  </si>
  <si>
    <t>Foliar | nanopartícula | 1000 + ng/µL | 72 horas</t>
  </si>
  <si>
    <t>Usar qualitativamente como formulação em lepidóptero mastigador</t>
  </si>
  <si>
    <t>DOI/título plausíveis; não acessado nesta revisão. Sistema distante de D. maidis.</t>
  </si>
  <si>
    <t>Completar alvo/endpoint/método antes de usar.</t>
  </si>
  <si>
    <t>Padronizar alvo como NlHT1.</t>
  </si>
  <si>
    <t>In vitro | dsRNA nu | 500 µM | 25 min</t>
  </si>
  <si>
    <t>Fermentação (fed-batch contínua) | Plasmídeo interno | NA NA | NA</t>
  </si>
  <si>
    <t>10.3390/insects11070425</t>
  </si>
  <si>
    <t>In vitro | dsRNA nu | 100 ng | 60 min</t>
  </si>
  <si>
    <t>Corrigir DOI/fonte antes de usar</t>
  </si>
  <si>
    <t>Alta para inconsistência bibliográfica; baixa para dados</t>
  </si>
  <si>
    <t>Não usar</t>
  </si>
  <si>
    <t>O DOI 10.3390/insects11070425/URL MDPI consultado resolve para outro artigo em Insects 11(7):425, não para o título registrado sobre dsRNases em Aedes. A linha não é rastreável como está.</t>
  </si>
  <si>
    <t>DOI parece incompatível com o título</t>
  </si>
  <si>
    <t>Localizar DOI correto do artigo sobre Aedes/dsRNase antes de manter valores de 4 min/100 ng.</t>
  </si>
  <si>
    <t>https://www.mdpi.com/2075-4450/11/7/425</t>
  </si>
  <si>
    <t>In vitro | dsRNA nu | 200 ng | 2 h</t>
  </si>
  <si>
    <t>Confirmada</t>
  </si>
  <si>
    <t>Usar como cenário comparativo distante de degradação</t>
  </si>
  <si>
    <t>Fonte confirma dsGFP 200 ng incubado com fluido de midgut; apenas 23% permaneceu após 2 h, equivalente a ~77% degradado.</t>
  </si>
  <si>
    <t>Manter grau 4 - Especulativa para BioGuard.</t>
  </si>
  <si>
    <t>https://www.frontiersin.org/journals/physiology/articles/10.3389/fphys.2022.833652/full</t>
  </si>
  <si>
    <t>Injeção seguida de dieta artificial | dsRNA nu | 200 ng/µL | 48 h de pré-tratamento + 3 dias de dieta oral</t>
  </si>
  <si>
    <t>Confirmar se 48 h de pré-tratamento + 3 dias é exatamente o regime reportado.</t>
  </si>
  <si>
    <t>Remoção: Não verificável como "4 min" o texto do artigo relata apenas que o extrato de intestino normal degrada quase todo o dsRNA em ≤30 min, e que após knockdown de dsRNase (ds4103) não há degradação significativa até 60 min.</t>
  </si>
  <si>
    <t>Foliar | dsRNA nu | 100 ng/µL | 15 Dias</t>
  </si>
  <si>
    <t>Usar apenas qualitativamente até conferir artigo</t>
  </si>
  <si>
    <t>DOI/título plausíveis, mas o artigo Elsevier não foi acessível. Valores de sobrevivência e estabilidade precisam ser conferidos.</t>
  </si>
  <si>
    <t>Manter como evidência especulativa por ser coleóptero mastigador e rota foliar.</t>
  </si>
  <si>
    <t>Foliar | nanopartícula / liberação rápida sensível a pH | 100 ng/µL | 15 Dias</t>
  </si>
  <si>
    <t>P058</t>
  </si>
  <si>
    <t>Foliar | nanopartícula / liberação lenta bifásica | 100 ng/µL | 15 Dias</t>
  </si>
  <si>
    <t>Dieta artificial | Não informado | NA NA | NA</t>
  </si>
  <si>
    <t>Registro incompleto; corrigir referência</t>
  </si>
  <si>
    <t>Não usar até completar extração</t>
  </si>
  <si>
    <t>A linha parece registrar um estudo em Plautia stali, mas o DOI presente aponta para Dryad/dataset. Faltam dose, tempo, endpoint e dados.</t>
  </si>
  <si>
    <t>DOI possivelmente de dataset e não do artigo</t>
  </si>
  <si>
    <t>Identificar artigo primário e preencher uma condição experimental por alvo/rota/dose/tempo.</t>
  </si>
  <si>
    <t>https://doi.org/10.5061/dryad.x3ffbg7h2</t>
  </si>
  <si>
    <t>0.77</t>
  </si>
  <si>
    <t>Dieta artificial | dsRNABicC  | None None | None</t>
  </si>
  <si>
    <t>Remover ou consolidar</t>
  </si>
  <si>
    <t>Alta para diagnóstico de planilha; baixa para dado científico</t>
  </si>
  <si>
    <t>Linha incompleta/duplicada do mesmo artigo de BicC. Não representa condição experimental suficiente.</t>
  </si>
  <si>
    <t>Faltam dose, unidade, tempo e parâmetros</t>
  </si>
  <si>
    <t>Consolidar com linhas específicas de BicC já existentes ou remover da tabela principal.</t>
  </si>
  <si>
    <t>P059</t>
  </si>
  <si>
    <t>Redução 23.6x (qPCR)</t>
  </si>
  <si>
    <t>fold-change</t>
  </si>
  <si>
    <t>Silenciamento dsRNase‑2 reduziu expressão 23.6x; qPCR; sem SD/EP.</t>
  </si>
  <si>
    <t>P060</t>
  </si>
  <si>
    <t>Alta (eficiência aumentada) (Página 2 e página 12)</t>
  </si>
  <si>
    <t>Silenciamento dsRNase‑2 aumentou eficiência da RNAi oral; efeito qualitativo descrito.</t>
  </si>
  <si>
    <t>P061</t>
  </si>
  <si>
    <t>P062</t>
  </si>
  <si>
    <t>P063</t>
  </si>
  <si>
    <t>P064</t>
  </si>
  <si>
    <t>P065</t>
  </si>
  <si>
    <t>36.6</t>
  </si>
  <si>
    <t>SEM</t>
  </si>
  <si>
    <t>13–22 besouros/réplica; 3 réplicas (Métodos, não específico deste ponto)</t>
  </si>
  <si>
    <t>15 dias (ensaio de sobrevivência em disco de folha, 100 ng dsRNA/disco)</t>
  </si>
  <si>
    <t>Parametros extraidos</t>
  </si>
  <si>
    <t>P066</t>
  </si>
  <si>
    <t>Câmara de difusão horizontal, pH 8.9–9.9, 17–43°C; duração variável até estabilização da concentração no receptor (Fig. 5) — NÃO é "15 dias"</t>
  </si>
  <si>
    <t>P067</t>
  </si>
  <si>
    <t>horas</t>
  </si>
  <si>
    <t>Até 16 h a 40°C em 0,01% ácido acético (ensaio de estresse térmico) — NÃO é "15 dias"</t>
  </si>
  <si>
    <t>P068</t>
  </si>
  <si>
    <t>Até 6 h sob UV 302 nm, ~1000–1050 µW/cm² — sinal de degradação; ensaio testou até 12 h no total (Fig. 4c,d) — NÃO é "15 dias"</t>
  </si>
  <si>
    <t>P069</t>
  </si>
  <si>
    <t>P070</t>
  </si>
  <si>
    <t>P071</t>
  </si>
  <si>
    <t>Até 12 h a 40°C em 0,01% ácido acético (ensaio de estresse térmico) — NÃO é "15 dias"</t>
  </si>
  <si>
    <t>P072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</si>
</sst>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:mm:ss"/>
    <numFmt numFmtId="165" formatCode="dd/mm/yyyy"/>
  </numFmts>
  <fonts count="20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color theme="1"/>
      <name val="Arial"/>
    </font>
    <font>
      <u/>
      <sz val="10.0"/>
      <color rgb="FF0000FF"/>
      <name val="Arial"/>
    </font>
    <font>
      <u/>
      <sz val="10.0"/>
      <color rgb="FF434343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3.0"/>
      <color rgb="FF1F3864"/>
      <name val="Arial"/>
    </font>
    <font>
      <b/>
      <sz val="10.0"/>
      <color rgb="FF000000"/>
      <name val="Arial"/>
    </font>
    <font>
      <color theme="1"/>
      <name val="Calibri"/>
      <scheme val="minor"/>
    </font>
    <font>
      <u/>
      <sz val="10.0"/>
      <color rgb="FF434343"/>
      <name val="Arial"/>
    </font>
    <font>
      <b/>
      <sz val="11.0"/>
      <color rgb="FF1F3864"/>
      <name val="Arial"/>
    </font>
    <font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top" wrapText="0"/>
    </xf>
    <xf borderId="1" fillId="2" fontId="1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0" fillId="0" fontId="3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5" fontId="2" numFmtId="0" xfId="0" applyAlignment="1" applyBorder="1" applyFill="1" applyFont="1">
      <alignment shrinkToFit="0" vertical="top" wrapText="0"/>
    </xf>
    <xf borderId="2" fillId="5" fontId="2" numFmtId="0" xfId="0" applyAlignment="1" applyBorder="1" applyFill="1" applyFont="1">
      <alignment shrinkToFit="0" vertical="top" wrapText="0"/>
    </xf>
    <xf borderId="0" fillId="0" fontId="4" numFmtId="0" xfId="0" applyAlignment="1" applyFont="1">
      <alignment horizontal="left" readingOrder="0" shrinkToFit="0" vertical="center" wrapText="1"/>
    </xf>
    <xf borderId="2" fillId="5" fontId="2" numFmtId="164" xfId="0" applyAlignment="1" applyBorder="1" applyFill="1" applyFont="1" applyNumberFormat="1">
      <alignment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2" fillId="5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5" fontId="2" numFmtId="0" xfId="0" applyAlignment="1" applyBorder="1" applyFill="1" applyFont="1">
      <alignment shrinkToFit="0" vertical="top" wrapText="0"/>
    </xf>
    <xf borderId="2" fillId="3" fontId="2" numFmtId="165" xfId="0" applyAlignment="1" applyBorder="1" applyFill="1" applyFont="1" applyNumberFormat="1">
      <alignment readingOrder="0" shrinkToFit="0" vertical="top" wrapText="0"/>
    </xf>
    <xf borderId="2" fillId="3" fontId="2" numFmtId="164" xfId="0" applyAlignment="1" applyBorder="1" applyFill="1" applyFont="1" applyNumberFormat="1">
      <alignment shrinkToFit="0" vertical="top" wrapText="0"/>
    </xf>
    <xf borderId="2" fillId="5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horizontal="left" readingOrder="0" shrinkToFit="0" vertical="top" wrapText="0"/>
    </xf>
    <xf borderId="2" fillId="3" fontId="2" numFmtId="0" xfId="0" applyAlignment="1" applyBorder="1" applyFill="1" applyFont="1">
      <alignment readingOrder="0" shrinkToFit="0" vertical="center" wrapText="1"/>
    </xf>
    <xf borderId="2" fillId="5" fontId="2" numFmtId="0" xfId="0" applyAlignment="1" applyBorder="1" applyFill="1" applyFont="1">
      <alignment readingOrder="0" shrinkToFit="0" vertical="top" wrapText="0"/>
    </xf>
    <xf borderId="2" fillId="5" fontId="5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shrinkToFit="0" vertical="top" wrapText="0"/>
    </xf>
    <xf borderId="2" fillId="5" fontId="2" numFmtId="0" xfId="0" applyAlignment="1" applyBorder="1" applyFill="1" applyFont="1">
      <alignment shrinkToFit="0" vertical="top" wrapText="0"/>
    </xf>
    <xf borderId="2" fillId="5" fontId="2" numFmtId="165" xfId="0" applyAlignment="1" applyBorder="1" applyFill="1" applyFont="1" applyNumberFormat="1">
      <alignment readingOrder="0" shrinkToFit="0" vertical="top" wrapText="0"/>
    </xf>
    <xf borderId="2" fillId="5" fontId="6" numFmtId="0" xfId="0" applyAlignment="1" applyBorder="1" applyFill="1" applyFont="1">
      <alignment readingOrder="0" shrinkToFit="0" vertical="top" wrapText="0"/>
    </xf>
    <xf borderId="2" fillId="5" fontId="2" numFmtId="0" xfId="0" applyAlignment="1" applyBorder="1" applyFill="1" applyFont="1">
      <alignment readingOrder="0" shrinkToFit="0" vertical="top" wrapText="0"/>
    </xf>
    <xf borderId="2" fillId="5" fontId="7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readingOrder="0" shrinkToFit="0" vertical="top" wrapText="0"/>
    </xf>
    <xf borderId="2" fillId="4" fontId="2" numFmtId="165" xfId="0" applyAlignment="1" applyBorder="1" applyFill="1" applyFont="1" applyNumberFormat="1">
      <alignment readingOrder="0" shrinkToFit="0" vertical="top" wrapText="0"/>
    </xf>
    <xf borderId="2" fillId="4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ill="1" applyFont="1">
      <alignment shrinkToFit="0" vertical="top" wrapText="0"/>
    </xf>
    <xf borderId="2" fillId="4" fontId="2" numFmtId="0" xfId="0" applyAlignment="1" applyBorder="1" applyFill="1" applyFont="1">
      <alignment shrinkToFit="0" vertical="top" wrapText="0"/>
    </xf>
    <xf borderId="2" fillId="3" fontId="8" numFmtId="0" xfId="0" applyAlignment="1" applyBorder="1" applyFill="1" applyFont="1">
      <alignment shrinkToFit="0" vertical="top" wrapText="0"/>
    </xf>
    <xf borderId="2" fillId="4" fontId="9" numFmtId="0" xfId="0" applyAlignment="1" applyBorder="1" applyFill="1" applyFont="1">
      <alignment readingOrder="0" shrinkToFit="0" vertical="top" wrapText="0"/>
    </xf>
    <xf borderId="2" fillId="4" fontId="10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shrinkToFit="0" vertical="top" wrapText="0"/>
    </xf>
    <xf borderId="2" fillId="4" fontId="2" numFmtId="0" xfId="0" applyAlignment="1" applyBorder="1" applyFill="1" applyFont="1">
      <alignment shrinkToFit="0" vertical="top" wrapText="0"/>
    </xf>
    <xf borderId="2" fillId="6" fontId="2" numFmtId="0" xfId="0" applyAlignment="1" applyBorder="1" applyFill="1" applyFont="1">
      <alignment shrinkToFit="0" vertical="top" wrapText="0"/>
    </xf>
    <xf borderId="2" fillId="6" fontId="2" numFmtId="0" xfId="0" applyAlignment="1" applyBorder="1" applyFill="1" applyFont="1">
      <alignment readingOrder="0" shrinkToFit="0" vertical="top" wrapText="0"/>
    </xf>
    <xf borderId="2" fillId="6" fontId="2" numFmtId="0" xfId="0" applyAlignment="1" applyBorder="1" applyFill="1" applyFont="1">
      <alignment readingOrder="0" shrinkToFit="0" vertical="top" wrapText="0"/>
    </xf>
    <xf borderId="2" fillId="6" fontId="2" numFmtId="165" xfId="0" applyAlignment="1" applyBorder="1" applyFill="1" applyFont="1" applyNumberFormat="1">
      <alignment readingOrder="0" shrinkToFit="0" vertical="top" wrapText="0"/>
    </xf>
    <xf borderId="2" fillId="6" fontId="2" numFmtId="164" xfId="0" applyAlignment="1" applyBorder="1" applyFill="1" applyFont="1" applyNumberFormat="1">
      <alignment shrinkToFit="0" vertical="top" wrapText="0"/>
    </xf>
    <xf borderId="2" fillId="4" fontId="2" numFmtId="0" xfId="0" applyAlignment="1" applyBorder="1" applyFill="1" applyFont="1">
      <alignment readingOrder="0" shrinkToFit="0" vertical="top" wrapText="0"/>
    </xf>
    <xf borderId="2" fillId="6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shrinkToFit="0" vertical="top" wrapText="1"/>
    </xf>
    <xf borderId="2" fillId="3" fontId="11" numFmtId="0" xfId="0" applyAlignment="1" applyBorder="1" applyFill="1" applyFont="1">
      <alignment readingOrder="0" shrinkToFit="0" vertical="top" wrapText="0"/>
    </xf>
    <xf borderId="2" fillId="4" fontId="12" numFmtId="0" xfId="0" applyAlignment="1" applyBorder="1" applyFill="1" applyFont="1">
      <alignment readingOrder="0" shrinkToFit="0" vertical="top" wrapText="0"/>
    </xf>
    <xf borderId="0" fillId="0" fontId="3" numFmtId="0" xfId="0" applyAlignment="1" applyFont="1">
      <alignment shrinkToFit="0" vertical="bottom" wrapText="0"/>
    </xf>
    <xf borderId="2" fillId="5" fontId="2" numFmtId="0" xfId="0" applyAlignment="1" applyBorder="1" applyFill="1" applyFont="1">
      <alignment readingOrder="0" shrinkToFit="0" vertical="top" wrapText="0"/>
    </xf>
    <xf borderId="2" fillId="5" fontId="13" numFmtId="0" xfId="0" applyAlignment="1" applyBorder="1" applyFill="1" applyFont="1">
      <alignment readingOrder="0" shrinkToFit="0" vertical="top" wrapText="0"/>
    </xf>
    <xf borderId="0" fillId="0" fontId="14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1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center" wrapText="0"/>
    </xf>
    <xf borderId="2" fillId="4" fontId="2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readingOrder="0" shrinkToFit="0" vertical="top" wrapText="0"/>
    </xf>
    <xf borderId="2" fillId="4" fontId="17" numFmtId="0" xfId="0" applyAlignment="1" applyBorder="1" applyFill="1" applyFont="1">
      <alignment readingOrder="0" shrinkToFit="0" vertical="top" wrapText="0"/>
    </xf>
    <xf borderId="0" fillId="0" fontId="2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2" fillId="3" fontId="2" numFmtId="10" xfId="0" applyAlignment="1" applyBorder="1" applyFill="1" applyFont="1" applyNumberFormat="1">
      <alignment readingOrder="0"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0" fontId="2" numFmtId="0" xfId="0" applyAlignment="1" applyBorder="1" applyFont="1">
      <alignment shrinkToFit="0" vertical="top" wrapText="1"/>
    </xf>
    <xf borderId="2" fillId="3" fontId="19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horizontal="right" readingOrder="0" shrinkToFit="0" vertical="top" wrapText="0"/>
    </xf>
    <xf borderId="2" fillId="3" fontId="2" numFmtId="0" xfId="0" applyAlignment="1" applyBorder="1" applyFill="1" applyFont="1">
      <alignment horizontal="right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ametros (long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73" displayName="Tabela_1" name="Tabela_1" id="1">
  <tableColumns count="22">
    <tableColumn name="id" id="1"/>
    <tableColumn name="Linha origem" id="2"/>
    <tableColumn name="Triagem" id="3"/>
    <tableColumn name="Especie" id="4"/>
    <tableColumn name="Alvo" id="5"/>
    <tableColumn name="Rota de entrega" id="6"/>
    <tableColumn name="Parametro" id="7"/>
    <tableColumn name="Valor original (texto)" id="8"/>
    <tableColumn name="valor_num" id="9"/>
    <tableColumn name="unidade" id="10"/>
    <tableColumn name="incerteza_tipo" id="11"/>
    <tableColumn name="incerteza_valor" id="12"/>
    <tableColumn name="n" id="13"/>
    <tableColumn name="Tempo / condicao" id="14"/>
    <tableColumn name="Grau de transferibilidade" id="15"/>
    <tableColumn name="sigma_log10" id="16"/>
    <tableColumn name="usar_em_modelo" id="17"/>
    <tableColumn name="modo" id="18"/>
    <tableColumn name="DOI" id="19"/>
    <tableColumn name="Verificado por (humano)" id="20"/>
    <tableColumn name="Data da verificacao" id="21"/>
    <tableColumn name="Observacao" id="22"/>
  </tableColumns>
  <tableStyleInfo name="Parametros (long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oi.org/10.1603/AN09164" TargetMode="External"/><Relationship Id="rId2" Type="http://schemas.openxmlformats.org/officeDocument/2006/relationships/hyperlink" Target="https://doi.org/10.1016/j.ijbiomac.2025.149697" TargetMode="External"/><Relationship Id="rId3" Type="http://schemas.openxmlformats.org/officeDocument/2006/relationships/hyperlink" Target="https://doi.org/10.1016/j.ijbiomac.2025.149697" TargetMode="External"/><Relationship Id="rId4" Type="http://schemas.openxmlformats.org/officeDocument/2006/relationships/hyperlink" Target="https://doi.org/10.1101/2022.01.17.476645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fGj-l84CUJfl4Jn-65gr5vs0JXiT8Dy/view?usp=drive_link" TargetMode="External"/><Relationship Id="rId84" Type="http://schemas.openxmlformats.org/officeDocument/2006/relationships/hyperlink" Target="https://drive.google.com/file/d/1hIzkKWXjIUY_7gvwb2UIXX7OkL6l4O5I/view?usp=drive_link" TargetMode="External"/><Relationship Id="rId83" Type="http://schemas.openxmlformats.org/officeDocument/2006/relationships/hyperlink" Target="https://drive.google.com/file/d/1hIzkKWXjIUY_7gvwb2UIXX7OkL6l4O5I/view?usp=drive_link" TargetMode="External"/><Relationship Id="rId42" Type="http://schemas.openxmlformats.org/officeDocument/2006/relationships/hyperlink" Target="https://drive.google.com/file/d/1hfGj-l84CUJfl4Jn-65gr5vs0JXiT8Dy/view?usp=drive_link" TargetMode="External"/><Relationship Id="rId86" Type="http://schemas.openxmlformats.org/officeDocument/2006/relationships/hyperlink" Target="https://drive.google.com/file/d/1hIzkKWXjIUY_7gvwb2UIXX7OkL6l4O5I/view?usp=drive_link" TargetMode="External"/><Relationship Id="rId41" Type="http://schemas.openxmlformats.org/officeDocument/2006/relationships/hyperlink" Target="https://drive.google.com/file/d/1hfGj-l84CUJfl4Jn-65gr5vs0JXiT8Dy/edit?disco=khxfc6rccymx" TargetMode="External"/><Relationship Id="rId85" Type="http://schemas.openxmlformats.org/officeDocument/2006/relationships/hyperlink" Target="https://drive.google.com/file/d/1hIzkKWXjIUY_7gvwb2UIXX7OkL6l4O5I/view?usp=drive_link" TargetMode="External"/><Relationship Id="rId44" Type="http://schemas.openxmlformats.org/officeDocument/2006/relationships/hyperlink" Target="https://drive.google.com/file/d/16Lq8ns5SRzSWzMYN_j8IbnzzBbISXZI4/view?usp=drive_link" TargetMode="External"/><Relationship Id="rId88" Type="http://schemas.openxmlformats.org/officeDocument/2006/relationships/hyperlink" Target="https://drive.google.com/file/d/1hIzkKWXjIUY_7gvwb2UIXX7OkL6l4O5I/view?usp=drive_link" TargetMode="External"/><Relationship Id="rId43" Type="http://schemas.openxmlformats.org/officeDocument/2006/relationships/hyperlink" Target="https://drive.google.com/file/d/1hfGj-l84CUJfl4Jn-65gr5vs0JXiT8Dy/edit?disco=AAACH-8fWrc" TargetMode="External"/><Relationship Id="rId87" Type="http://schemas.openxmlformats.org/officeDocument/2006/relationships/hyperlink" Target="https://drive.google.com/file/d/1hIzkKWXjIUY_7gvwb2UIXX7OkL6l4O5I/view?usp=drive_link" TargetMode="External"/><Relationship Id="rId46" Type="http://schemas.openxmlformats.org/officeDocument/2006/relationships/hyperlink" Target="https://drive.google.com/file/d/16Lq8ns5SRzSWzMYN_j8IbnzzBbISXZI4/view?usp=drive_link" TargetMode="External"/><Relationship Id="rId45" Type="http://schemas.openxmlformats.org/officeDocument/2006/relationships/hyperlink" Target="https://drive.google.com/open?id=16Lq8ns5SRzSWzMYN_j8IbnzzBbISXZI4&amp;disco=AAACA2nDAn4" TargetMode="External"/><Relationship Id="rId89" Type="http://schemas.openxmlformats.org/officeDocument/2006/relationships/hyperlink" Target="https://drive.google.com/file/d/1hIzkKWXjIUY_7gvwb2UIXX7OkL6l4O5I/view?usp=drive_link" TargetMode="External"/><Relationship Id="rId80" Type="http://schemas.openxmlformats.org/officeDocument/2006/relationships/hyperlink" Target="https://drive.google.com/file/d/1hIzkKWXjIUY_7gvwb2UIXX7OkL6l4O5I/edit?disco=9jzn44hph9ur" TargetMode="External"/><Relationship Id="rId82" Type="http://schemas.openxmlformats.org/officeDocument/2006/relationships/hyperlink" Target="https://drive.google.com/file/d/1hIzkKWXjIUY_7gvwb2UIXX7OkL6l4O5I/view?usp=drive_link" TargetMode="External"/><Relationship Id="rId81" Type="http://schemas.openxmlformats.org/officeDocument/2006/relationships/hyperlink" Target="https://drive.google.com/file/d/1hIzkKWXjIUY_7gvwb2UIXX7OkL6l4O5I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n4Wu_yOl5DpL4o9JwyzJAhMCCuD-Nchu/view?usp=sharing" TargetMode="External"/><Relationship Id="rId3" Type="http://schemas.openxmlformats.org/officeDocument/2006/relationships/hyperlink" Target="https://drive.google.com/file/d/1n4Wu_yOl5DpL4o9JwyzJAhMCCuD-Nchu/view?usp=sharing" TargetMode="External"/><Relationship Id="rId4" Type="http://schemas.openxmlformats.org/officeDocument/2006/relationships/hyperlink" Target="https://drive.google.com/file/d/1n4Wu_yOl5DpL4o9JwyzJAhMCCuD-Nchu/view?usp=drive_link" TargetMode="External"/><Relationship Id="rId9" Type="http://schemas.openxmlformats.org/officeDocument/2006/relationships/hyperlink" Target="https://drive.google.com/file/d/1weERPiC-vF-ZYlQ-RNxeLExU_qdL0z1f/view?usp=drive_link" TargetMode="External"/><Relationship Id="rId48" Type="http://schemas.openxmlformats.org/officeDocument/2006/relationships/hyperlink" Target="https://drive.google.com/file/d/16Lq8ns5SRzSWzMYN_j8IbnzzBbISXZI4/view?usp=drive_link" TargetMode="External"/><Relationship Id="rId47" Type="http://schemas.openxmlformats.org/officeDocument/2006/relationships/hyperlink" Target="https://drive.google.com/open?id=16Lq8ns5SRzSWzMYN_j8IbnzzBbISXZI4&amp;disco=oqqmuxr73n6h" TargetMode="External"/><Relationship Id="rId49" Type="http://schemas.openxmlformats.org/officeDocument/2006/relationships/hyperlink" Target="https://drive.google.com/open?id=1HgelriPGVf2Qh2sWB4QK4832zcb6IUyp&amp;disco=AAACGp4iLVw" TargetMode="External"/><Relationship Id="rId5" Type="http://schemas.openxmlformats.org/officeDocument/2006/relationships/hyperlink" Target="https://drive.google.com/file/d/1n4Wu_yOl5DpL4o9JwyzJAhMCCuD-Nchu/view?usp=drive_link" TargetMode="External"/><Relationship Id="rId6" Type="http://schemas.openxmlformats.org/officeDocument/2006/relationships/hyperlink" Target="https://drive.google.com/file/d/16Lq8ns5SRzSWzMYN_j8IbnzzBbISXZI4/view?usp=drive_link" TargetMode="External"/><Relationship Id="rId7" Type="http://schemas.openxmlformats.org/officeDocument/2006/relationships/hyperlink" Target="https://drive.google.com/file/d/1weERPiC-vF-ZYlQ-RNxeLExU_qdL0z1f/view?usp=drive_link" TargetMode="External"/><Relationship Id="rId8" Type="http://schemas.openxmlformats.org/officeDocument/2006/relationships/hyperlink" Target="https://drive.google.com/file/d/1weERPiC-vF-ZYlQ-RNxeLExU_qdL0z1f/edit?disco=AAACH8XxykY" TargetMode="External"/><Relationship Id="rId73" Type="http://schemas.openxmlformats.org/officeDocument/2006/relationships/hyperlink" Target="https://drive.google.com/open?id=1weei6bbEf0L4y9VnCcS4WMTt1ZuRlDMS&amp;disco=us688rlc700h" TargetMode="External"/><Relationship Id="rId72" Type="http://schemas.openxmlformats.org/officeDocument/2006/relationships/hyperlink" Target="https://drive.google.com/file/d/1weei6bbEf0L4y9VnCcS4WMTt1ZuRlDMS/view?usp=sharing" TargetMode="External"/><Relationship Id="rId31" Type="http://schemas.openxmlformats.org/officeDocument/2006/relationships/hyperlink" Target="https://drive.google.com/open?id=1iTcSflu-XoZ7t7TBuuYWfoeXou0x1Idq&amp;disco=yybifpewe3qf" TargetMode="External"/><Relationship Id="rId75" Type="http://schemas.openxmlformats.org/officeDocument/2006/relationships/hyperlink" Target="https://drive.google.com/open?id=1weei6bbEf0L4y9VnCcS4WMTt1ZuRlDMS&amp;disco=iswnwp42zt7p" TargetMode="External"/><Relationship Id="rId30" Type="http://schemas.openxmlformats.org/officeDocument/2006/relationships/hyperlink" Target="https://drive.google.com/file/d/1iTcSflu-XoZ7t7TBuuYWfoeXou0x1Idq/view?usp=drive_link" TargetMode="External"/><Relationship Id="rId74" Type="http://schemas.openxmlformats.org/officeDocument/2006/relationships/hyperlink" Target="https://drive.google.com/file/d/1weei6bbEf0L4y9VnCcS4WMTt1ZuRlDMS/view?usp=sharing" TargetMode="External"/><Relationship Id="rId33" Type="http://schemas.openxmlformats.org/officeDocument/2006/relationships/hyperlink" Target="https://drive.google.com/open?id=1iTcSflu-XoZ7t7TBuuYWfoeXou0x1Idq&amp;disco=bv3jalj3gyry" TargetMode="External"/><Relationship Id="rId77" Type="http://schemas.openxmlformats.org/officeDocument/2006/relationships/hyperlink" Target="https://drive.google.com/open?id=1JujrrE3EimA8qhImqMjjMq6lY45Z3sA3&amp;disco=8syjfz8vanm4" TargetMode="External"/><Relationship Id="rId32" Type="http://schemas.openxmlformats.org/officeDocument/2006/relationships/hyperlink" Target="https://drive.google.com/file/d/1iTcSflu-XoZ7t7TBuuYWfoeXou0x1Idq/view?usp=drive_link" TargetMode="External"/><Relationship Id="rId76" Type="http://schemas.openxmlformats.org/officeDocument/2006/relationships/hyperlink" Target="https://drive.google.com/file/d/1JujrrE3EimA8qhImqMjjMq6lY45Z3sA3/view?usp=sharing" TargetMode="External"/><Relationship Id="rId35" Type="http://schemas.openxmlformats.org/officeDocument/2006/relationships/hyperlink" Target="https://drive.google.com/file/d/1hfGj-l84CUJfl4Jn-65gr5vs0JXiT8Dy/edit?disco=AAACH-8fWrI" TargetMode="External"/><Relationship Id="rId79" Type="http://schemas.openxmlformats.org/officeDocument/2006/relationships/hyperlink" Target="https://drive.google.com/file/d/1hIzkKWXjIUY_7gvwb2UIXX7OkL6l4O5I/view?usp=drive_link" TargetMode="External"/><Relationship Id="rId34" Type="http://schemas.openxmlformats.org/officeDocument/2006/relationships/hyperlink" Target="https://drive.google.com/file/d/1hfGj-l84CUJfl4Jn-65gr5vs0JXiT8Dy/view?usp=drive_link" TargetMode="External"/><Relationship Id="rId78" Type="http://schemas.openxmlformats.org/officeDocument/2006/relationships/hyperlink" Target="https://drive.google.com/file/d/1JujrrE3EimA8qhImqMjjMq6lY45Z3sA3/view?usp=sharing" TargetMode="External"/><Relationship Id="rId71" Type="http://schemas.openxmlformats.org/officeDocument/2006/relationships/hyperlink" Target="https://drive.google.com/open?id=1JBhZTjSm8w9AG5YEya5B52mqjkGhecHo&amp;disco=7bvg4gz3lnvw" TargetMode="External"/><Relationship Id="rId70" Type="http://schemas.openxmlformats.org/officeDocument/2006/relationships/hyperlink" Target="https://drive.google.com/file/d/1JBhZTjSm8w9AG5YEya5B52mqjkGhecHo/view?usp=drive_link" TargetMode="External"/><Relationship Id="rId37" Type="http://schemas.openxmlformats.org/officeDocument/2006/relationships/hyperlink" Target="https://drive.google.com/file/d/1hfGj-l84CUJfl4Jn-65gr5vs0JXiT8Dy/edit?disco=8rhrbdjmzkh7" TargetMode="External"/><Relationship Id="rId36" Type="http://schemas.openxmlformats.org/officeDocument/2006/relationships/hyperlink" Target="https://drive.google.com/file/d/1hfGj-l84CUJfl4Jn-65gr5vs0JXiT8Dy/view?usp=drive_link" TargetMode="External"/><Relationship Id="rId39" Type="http://schemas.openxmlformats.org/officeDocument/2006/relationships/hyperlink" Target="https://drive.google.com/file/d/1hfGj-l84CUJfl4Jn-65gr5vs0JXiT8Dy/edit?disco=AAACH-8fWrU" TargetMode="External"/><Relationship Id="rId38" Type="http://schemas.openxmlformats.org/officeDocument/2006/relationships/hyperlink" Target="https://drive.google.com/file/d/1hfGj-l84CUJfl4Jn-65gr5vs0JXiT8Dy/view?usp=drive_link" TargetMode="External"/><Relationship Id="rId62" Type="http://schemas.openxmlformats.org/officeDocument/2006/relationships/hyperlink" Target="https://drive.google.com/open?id=1OgAjleK54ZIBnPT6H0IFGqrZsJSx5iw8&amp;disco=AAACA2t92zM" TargetMode="External"/><Relationship Id="rId61" Type="http://schemas.openxmlformats.org/officeDocument/2006/relationships/hyperlink" Target="https://drive.google.com/file/d/1OgAjleK54ZIBnPT6H0IFGqrZsJSx5iw8/view?usp=drive_link" TargetMode="External"/><Relationship Id="rId20" Type="http://schemas.openxmlformats.org/officeDocument/2006/relationships/hyperlink" Target="https://drive.google.com/open?id=1_Ouy-XjnVUnYPnMHu4f5l7pS6mkwpd1I&amp;disco=AAACIQI9r5U" TargetMode="External"/><Relationship Id="rId64" Type="http://schemas.openxmlformats.org/officeDocument/2006/relationships/hyperlink" Target="https://drive.google.com/open?id=1PhcjCfBTr5xGISkyJxrXRpc7-fzff-qN&amp;disco=5pib8amrtah1" TargetMode="External"/><Relationship Id="rId63" Type="http://schemas.openxmlformats.org/officeDocument/2006/relationships/hyperlink" Target="https://drive.google.com/file/d/1PhcjCfBTr5xGISkyJxrXRpc7-fzff-qN/view?usp=drive_link" TargetMode="External"/><Relationship Id="rId22" Type="http://schemas.openxmlformats.org/officeDocument/2006/relationships/hyperlink" Target="https://drive.google.com/open?id=1_Ouy-XjnVUnYPnMHu4f5l7pS6mkwpd1I&amp;disco=AAACIQI9r4k" TargetMode="External"/><Relationship Id="rId66" Type="http://schemas.openxmlformats.org/officeDocument/2006/relationships/hyperlink" Target="https://drive.google.com/file/d/1PhcjCfBTr5xGISkyJxrXRpc7-fzff-qN/view?usp=drive_link" TargetMode="External"/><Relationship Id="rId21" Type="http://schemas.openxmlformats.org/officeDocument/2006/relationships/hyperlink" Target="https://drive.google.com/file/d/1_Ouy-XjnVUnYPnMHu4f5l7pS6mkwpd1I/view?usp=drive_link" TargetMode="External"/><Relationship Id="rId65" Type="http://schemas.openxmlformats.org/officeDocument/2006/relationships/hyperlink" Target="https://drive.google.com/file/d/1PhcjCfBTr5xGISkyJxrXRpc7-fzff-qN/view?usp=drive_link" TargetMode="External"/><Relationship Id="rId24" Type="http://schemas.openxmlformats.org/officeDocument/2006/relationships/hyperlink" Target="https://drive.google.com/file/d/1_Ouy-XjnVUnYPnMHu4f5l7pS6mkwpd1I/view?usp=drive_link" TargetMode="External"/><Relationship Id="rId68" Type="http://schemas.openxmlformats.org/officeDocument/2006/relationships/hyperlink" Target="https://drive.google.com/file/d/1JBhZTjSm8w9AG5YEya5B52mqjkGhecHo/view?usp=drive_link" TargetMode="External"/><Relationship Id="rId23" Type="http://schemas.openxmlformats.org/officeDocument/2006/relationships/hyperlink" Target="https://drive.google.com/file/d/1_Ouy-XjnVUnYPnMHu4f5l7pS6mkwpd1I/view?usp=drive_link" TargetMode="External"/><Relationship Id="rId67" Type="http://schemas.openxmlformats.org/officeDocument/2006/relationships/hyperlink" Target="https://drive.google.com/open?id=1PhcjCfBTr5xGISkyJxrXRpc7-fzff-qN&amp;disco=AAACGoyKA6M" TargetMode="External"/><Relationship Id="rId60" Type="http://schemas.openxmlformats.org/officeDocument/2006/relationships/hyperlink" Target="https://drive.google.com/open?id=1OgAjleK54ZIBnPT6H0IFGqrZsJSx5iw8&amp;disco=AAACA2t92zM" TargetMode="External"/><Relationship Id="rId26" Type="http://schemas.openxmlformats.org/officeDocument/2006/relationships/hyperlink" Target="https://drive.google.com/open?id=1iTcSflu-XoZ7t7TBuuYWfoeXou0x1Idq&amp;disco=AAACITJ6-oQ" TargetMode="External"/><Relationship Id="rId25" Type="http://schemas.openxmlformats.org/officeDocument/2006/relationships/hyperlink" Target="https://drive.google.com/file/d/1iTcSflu-XoZ7t7TBuuYWfoeXou0x1Idq/view?usp=drive_link" TargetMode="External"/><Relationship Id="rId69" Type="http://schemas.openxmlformats.org/officeDocument/2006/relationships/hyperlink" Target="https://drive.google.com/open?id=1JBhZTjSm8w9AG5YEya5B52mqjkGhecHo&amp;disco=AAACIMQo_8E" TargetMode="External"/><Relationship Id="rId28" Type="http://schemas.openxmlformats.org/officeDocument/2006/relationships/hyperlink" Target="https://drive.google.com/file/d/1iTcSflu-XoZ7t7TBuuYWfoeXou0x1Idq/view?usp=drive_link" TargetMode="External"/><Relationship Id="rId27" Type="http://schemas.openxmlformats.org/officeDocument/2006/relationships/hyperlink" Target="https://drive.google.com/file/d/1iTcSflu-XoZ7t7TBuuYWfoeXou0x1Idq/view?usp=drive_link" TargetMode="External"/><Relationship Id="rId29" Type="http://schemas.openxmlformats.org/officeDocument/2006/relationships/hyperlink" Target="https://drive.google.com/open?id=1iTcSflu-XoZ7t7TBuuYWfoeXou0x1Idq&amp;disco=yybifpewe3qf" TargetMode="External"/><Relationship Id="rId51" Type="http://schemas.openxmlformats.org/officeDocument/2006/relationships/hyperlink" Target="https://drive.google.com/file/d/1JBhZTjSm8w9AG5YEya5B52mqjkGhecHo/view?usp=drive_link" TargetMode="External"/><Relationship Id="rId95" Type="http://schemas.openxmlformats.org/officeDocument/2006/relationships/table" Target="../tables/table1.xml"/><Relationship Id="rId50" Type="http://schemas.openxmlformats.org/officeDocument/2006/relationships/hyperlink" Target="https://drive.google.com/open?id=1HgelriPGVf2Qh2sWB4QK4832zcb6IUyp&amp;disco=AAACGp4iLVw" TargetMode="External"/><Relationship Id="rId53" Type="http://schemas.openxmlformats.org/officeDocument/2006/relationships/hyperlink" Target="https://drive.google.com/file/d/1JBhZTjSm8w9AG5YEya5B52mqjkGhecHo/view?usp=drive_link" TargetMode="External"/><Relationship Id="rId52" Type="http://schemas.openxmlformats.org/officeDocument/2006/relationships/hyperlink" Target="https://drive.google.com/open?id=1JBhZTjSm8w9AG5YEya5B52mqjkGhecHo&amp;disco=buqd4bdj2st1" TargetMode="External"/><Relationship Id="rId11" Type="http://schemas.openxmlformats.org/officeDocument/2006/relationships/hyperlink" Target="https://drive.google.com/file/d/1weERPiC-vF-ZYlQ-RNxeLExU_qdL0z1f/view?usp=drive_link" TargetMode="External"/><Relationship Id="rId55" Type="http://schemas.openxmlformats.org/officeDocument/2006/relationships/hyperlink" Target="https://drive.google.com/file/d/1JBhZTjSm8w9AG5YEya5B52mqjkGhecHo/view?usp=drive_link" TargetMode="External"/><Relationship Id="rId10" Type="http://schemas.openxmlformats.org/officeDocument/2006/relationships/hyperlink" Target="https://drive.google.com/file/d/1weERPiC-vF-ZYlQ-RNxeLExU_qdL0z1f/view?usp=drive_link" TargetMode="External"/><Relationship Id="rId54" Type="http://schemas.openxmlformats.org/officeDocument/2006/relationships/hyperlink" Target="https://drive.google.com/open?id=1JBhZTjSm8w9AG5YEya5B52mqjkGhecHo&amp;disco=7bvg4gz3lnvw" TargetMode="External"/><Relationship Id="rId13" Type="http://schemas.openxmlformats.org/officeDocument/2006/relationships/hyperlink" Target="https://drive.google.com/file/d/1weERPiC-vF-ZYlQ-RNxeLExU_qdL0z1f/view?usp=drive_link" TargetMode="External"/><Relationship Id="rId57" Type="http://schemas.openxmlformats.org/officeDocument/2006/relationships/hyperlink" Target="https://drive.google.com/file/d/1JBhZTjSm8w9AG5YEya5B52mqjkGhecHo/view?usp=drive_link" TargetMode="External"/><Relationship Id="rId12" Type="http://schemas.openxmlformats.org/officeDocument/2006/relationships/hyperlink" Target="https://drive.google.com/file/d/1weERPiC-vF-ZYlQ-RNxeLExU_qdL0z1f/edit?disco=AAACH8Xxykw" TargetMode="External"/><Relationship Id="rId56" Type="http://schemas.openxmlformats.org/officeDocument/2006/relationships/hyperlink" Target="https://drive.google.com/open?id=1JBhZTjSm8w9AG5YEya5B52mqjkGhecHo&amp;disco=hwtjq4i5qmir" TargetMode="External"/><Relationship Id="rId91" Type="http://schemas.openxmlformats.org/officeDocument/2006/relationships/hyperlink" Target="https://drive.google.com/file/d/1hIzkKWXjIUY_7gvwb2UIXX7OkL6l4O5I/view?usp=drive_link" TargetMode="External"/><Relationship Id="rId90" Type="http://schemas.openxmlformats.org/officeDocument/2006/relationships/hyperlink" Target="https://drive.google.com/file/d/1hIzkKWXjIUY_7gvwb2UIXX7OkL6l4O5I/view?usp=drive_link" TargetMode="External"/><Relationship Id="rId93" Type="http://schemas.openxmlformats.org/officeDocument/2006/relationships/vmlDrawing" Target="../drawings/vmlDrawing1.vml"/><Relationship Id="rId92" Type="http://schemas.openxmlformats.org/officeDocument/2006/relationships/drawing" Target="../drawings/drawing2.xml"/><Relationship Id="rId15" Type="http://schemas.openxmlformats.org/officeDocument/2006/relationships/hyperlink" Target="https://drive.google.com/file/d/1weERPiC-vF-ZYlQ-RNxeLExU_qdL0z1f/view?usp=drive_link" TargetMode="External"/><Relationship Id="rId59" Type="http://schemas.openxmlformats.org/officeDocument/2006/relationships/hyperlink" Target="https://drive.google.com/file/d/1OgAjleK54ZIBnPT6H0IFGqrZsJSx5iw8/view?usp=drive_link" TargetMode="External"/><Relationship Id="rId14" Type="http://schemas.openxmlformats.org/officeDocument/2006/relationships/hyperlink" Target="https://drive.google.com/file/d/1weERPiC-vF-ZYlQ-RNxeLExU_qdL0z1f/edit?disco=AAACH8Xxymk" TargetMode="External"/><Relationship Id="rId58" Type="http://schemas.openxmlformats.org/officeDocument/2006/relationships/hyperlink" Target="https://drive.google.com/open?id=1JBhZTjSm8w9AG5YEya5B52mqjkGhecHo&amp;disco=7bvg4gz3lnvw" TargetMode="External"/><Relationship Id="rId17" Type="http://schemas.openxmlformats.org/officeDocument/2006/relationships/hyperlink" Target="https://drive.google.com/file/d/1_Ouy-XjnVUnYPnMHu4f5l7pS6mkwpd1I/view?usp=sharing" TargetMode="External"/><Relationship Id="rId16" Type="http://schemas.openxmlformats.org/officeDocument/2006/relationships/hyperlink" Target="https://drive.google.com/file/d/1weERPiC-vF-ZYlQ-RNxeLExU_qdL0z1f/edit?disco=AAACH8Xxymo" TargetMode="External"/><Relationship Id="rId19" Type="http://schemas.openxmlformats.org/officeDocument/2006/relationships/hyperlink" Target="https://drive.google.com/file/d/1_Ouy-XjnVUnYPnMHu4f5l7pS6mkwpd1I/view?usp=sharing" TargetMode="External"/><Relationship Id="rId18" Type="http://schemas.openxmlformats.org/officeDocument/2006/relationships/hyperlink" Target="https://drive.google.com/open?id=1_Ouy-XjnVUnYPnMHu4f5l7pS6mkwpd1I&amp;disco=AAACIQI9r4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4.0"/>
    <col customWidth="1" min="3" max="3" width="60.0"/>
    <col customWidth="1" min="4" max="4" width="20.0"/>
    <col customWidth="1" min="5" max="5" width="16.0"/>
    <col customWidth="1" min="6" max="6" width="11.0"/>
    <col customWidth="1" min="7" max="7" width="13.0"/>
    <col customWidth="1" min="8" max="8" width="14.43"/>
    <col customWidth="1" min="9" max="9" width="13.0"/>
    <col customWidth="1" min="10" max="10" width="7.0"/>
    <col customWidth="1" min="11" max="11" width="40.0"/>
    <col customWidth="1" min="12" max="12" width="26.0"/>
    <col customWidth="1" min="13" max="14" width="24.0"/>
    <col customWidth="1" min="15" max="16" width="22.0"/>
    <col customWidth="1" min="17" max="17" width="20.0"/>
    <col customWidth="1" min="18" max="18" width="12.0"/>
    <col customWidth="1" min="19" max="19" width="13.0"/>
    <col customWidth="1" min="20" max="20" width="16.0"/>
    <col customWidth="1" min="21" max="38" width="20.0"/>
  </cols>
  <sheetData>
    <row r="1" ht="31.5" customHeight="1">
      <c r="A1" s="1" t="s">
        <v>1</v>
      </c>
      <c r="B1" s="1" t="s">
        <v>4</v>
      </c>
      <c r="C1" s="2" t="s">
        <v>7</v>
      </c>
      <c r="D1" s="1" t="s">
        <v>12</v>
      </c>
      <c r="E1" s="1" t="s">
        <v>14</v>
      </c>
      <c r="F1" s="1" t="s">
        <v>18</v>
      </c>
      <c r="G1" s="1" t="s">
        <v>22</v>
      </c>
      <c r="H1" s="1" t="s">
        <v>25</v>
      </c>
      <c r="I1" s="1" t="s">
        <v>5</v>
      </c>
      <c r="J1" s="1" t="s">
        <v>30</v>
      </c>
      <c r="K1" s="1" t="s">
        <v>34</v>
      </c>
      <c r="L1" s="1" t="s">
        <v>40</v>
      </c>
      <c r="M1" s="1" t="s">
        <v>44</v>
      </c>
      <c r="N1" s="1" t="s">
        <v>47</v>
      </c>
      <c r="O1" s="1" t="s">
        <v>49</v>
      </c>
      <c r="P1" s="1" t="s">
        <v>33</v>
      </c>
      <c r="Q1" s="1" t="s">
        <v>37</v>
      </c>
      <c r="R1" s="1" t="s">
        <v>58</v>
      </c>
      <c r="S1" s="1" t="s">
        <v>42</v>
      </c>
      <c r="T1" s="1" t="s">
        <v>64</v>
      </c>
      <c r="U1" s="1" t="s">
        <v>66</v>
      </c>
      <c r="V1" s="1" t="s">
        <v>69</v>
      </c>
      <c r="W1" s="1" t="s">
        <v>72</v>
      </c>
      <c r="X1" s="1" t="s">
        <v>75</v>
      </c>
      <c r="Y1" s="1" t="s">
        <v>77</v>
      </c>
      <c r="Z1" s="1" t="s">
        <v>80</v>
      </c>
      <c r="AA1" s="1" t="s">
        <v>82</v>
      </c>
      <c r="AB1" s="1" t="s">
        <v>85</v>
      </c>
      <c r="AC1" s="1" t="s">
        <v>91</v>
      </c>
      <c r="AD1" s="1" t="s">
        <v>121</v>
      </c>
      <c r="AE1" s="1" t="s">
        <v>50</v>
      </c>
      <c r="AF1" s="1" t="s">
        <v>55</v>
      </c>
      <c r="AG1" s="1" t="s">
        <v>56</v>
      </c>
      <c r="AH1" s="1" t="s">
        <v>62</v>
      </c>
      <c r="AI1" s="1" t="s">
        <v>131</v>
      </c>
      <c r="AJ1" s="1" t="s">
        <v>67</v>
      </c>
      <c r="AK1" s="1" t="s">
        <v>70</v>
      </c>
      <c r="AL1" s="1" t="s">
        <v>141</v>
      </c>
    </row>
    <row r="2" ht="15.0" customHeight="1">
      <c r="A2" s="9">
        <v>2.0</v>
      </c>
      <c r="B2" s="9" t="s">
        <v>120</v>
      </c>
      <c r="C2" s="10" t="s">
        <v>176</v>
      </c>
      <c r="D2" s="9"/>
      <c r="E2" s="9"/>
      <c r="F2" s="9" t="s">
        <v>183</v>
      </c>
      <c r="G2" s="9" t="s">
        <v>185</v>
      </c>
      <c r="H2" s="9" t="s">
        <v>185</v>
      </c>
      <c r="I2" s="9" t="s">
        <v>101</v>
      </c>
      <c r="J2" s="9" t="s">
        <v>186</v>
      </c>
      <c r="K2" s="9" t="s">
        <v>188</v>
      </c>
      <c r="L2" s="9" t="s">
        <v>190</v>
      </c>
      <c r="M2" s="9" t="s">
        <v>192</v>
      </c>
      <c r="N2" s="9" t="s">
        <v>195</v>
      </c>
      <c r="O2" s="9" t="s">
        <v>197</v>
      </c>
      <c r="P2" s="9" t="s">
        <v>127</v>
      </c>
      <c r="Q2" s="9" t="s">
        <v>104</v>
      </c>
      <c r="R2" s="9">
        <v>500.0</v>
      </c>
      <c r="S2" s="9" t="s">
        <v>105</v>
      </c>
      <c r="T2" s="9" t="s">
        <v>203</v>
      </c>
      <c r="U2" s="9" t="s">
        <v>204</v>
      </c>
      <c r="V2" s="9" t="s">
        <v>206</v>
      </c>
      <c r="W2" s="9"/>
      <c r="X2" s="9"/>
      <c r="Y2" s="9"/>
      <c r="Z2" s="9"/>
      <c r="AA2" s="9"/>
      <c r="AB2" s="9"/>
      <c r="AC2" s="9"/>
      <c r="AD2" s="9"/>
      <c r="AE2" s="9" t="s">
        <v>216</v>
      </c>
      <c r="AF2" s="9" t="s">
        <v>111</v>
      </c>
      <c r="AG2" s="9" t="s">
        <v>113</v>
      </c>
      <c r="AH2" s="9" t="s">
        <v>115</v>
      </c>
      <c r="AI2" s="9" t="s">
        <v>243</v>
      </c>
      <c r="AJ2" s="9" t="s">
        <v>244</v>
      </c>
      <c r="AK2" s="9" t="s">
        <v>247</v>
      </c>
      <c r="AL2" s="9" t="s">
        <v>248</v>
      </c>
    </row>
    <row r="3" ht="15.0" customHeight="1">
      <c r="A3" s="9">
        <v>3.0</v>
      </c>
      <c r="B3" s="9" t="s">
        <v>120</v>
      </c>
      <c r="C3" s="10" t="s">
        <v>250</v>
      </c>
      <c r="D3" s="9"/>
      <c r="E3" s="9"/>
      <c r="F3" s="12">
        <v>46059.0</v>
      </c>
      <c r="G3" s="9" t="s">
        <v>95</v>
      </c>
      <c r="H3" s="9" t="s">
        <v>185</v>
      </c>
      <c r="I3" s="9" t="s">
        <v>101</v>
      </c>
      <c r="J3" s="9" t="s">
        <v>186</v>
      </c>
      <c r="K3" s="9" t="s">
        <v>261</v>
      </c>
      <c r="L3" s="9" t="s">
        <v>263</v>
      </c>
      <c r="M3" s="9" t="s">
        <v>265</v>
      </c>
      <c r="N3" s="9" t="s">
        <v>195</v>
      </c>
      <c r="O3" s="9" t="s">
        <v>212</v>
      </c>
      <c r="P3" s="9" t="s">
        <v>145</v>
      </c>
      <c r="Q3" s="9"/>
      <c r="R3" s="9"/>
      <c r="S3" s="9"/>
      <c r="T3" s="9" t="s">
        <v>266</v>
      </c>
      <c r="U3" s="9" t="s">
        <v>268</v>
      </c>
      <c r="V3" s="9" t="s">
        <v>269</v>
      </c>
      <c r="W3" s="9" t="s">
        <v>270</v>
      </c>
      <c r="X3" s="9" t="s">
        <v>272</v>
      </c>
      <c r="Y3" s="9"/>
      <c r="Z3" s="9"/>
      <c r="AA3" s="9"/>
      <c r="AB3" s="9"/>
      <c r="AC3" s="9"/>
      <c r="AD3" s="9"/>
      <c r="AE3" s="9" t="s">
        <v>274</v>
      </c>
      <c r="AF3" s="9" t="s">
        <v>275</v>
      </c>
      <c r="AG3" s="9" t="s">
        <v>276</v>
      </c>
      <c r="AH3" s="9" t="s">
        <v>135</v>
      </c>
      <c r="AI3" s="9" t="s">
        <v>278</v>
      </c>
      <c r="AJ3" s="9" t="s">
        <v>279</v>
      </c>
      <c r="AK3" s="9" t="s">
        <v>280</v>
      </c>
      <c r="AL3" s="9" t="s">
        <v>281</v>
      </c>
    </row>
    <row r="4" ht="15.0" customHeight="1">
      <c r="A4" s="9">
        <v>4.0</v>
      </c>
      <c r="B4" s="9" t="s">
        <v>120</v>
      </c>
      <c r="C4" s="10" t="s">
        <v>283</v>
      </c>
      <c r="D4" s="9"/>
      <c r="E4" s="9"/>
      <c r="F4" s="12">
        <v>46059.0</v>
      </c>
      <c r="G4" s="9" t="s">
        <v>95</v>
      </c>
      <c r="H4" s="9" t="s">
        <v>185</v>
      </c>
      <c r="I4" s="9" t="s">
        <v>101</v>
      </c>
      <c r="J4" s="9" t="s">
        <v>186</v>
      </c>
      <c r="K4" s="9" t="s">
        <v>261</v>
      </c>
      <c r="L4" s="9" t="s">
        <v>263</v>
      </c>
      <c r="M4" s="9" t="s">
        <v>265</v>
      </c>
      <c r="N4" s="9" t="s">
        <v>195</v>
      </c>
      <c r="O4" s="9" t="s">
        <v>212</v>
      </c>
      <c r="P4" s="9" t="s">
        <v>145</v>
      </c>
      <c r="Q4" s="9"/>
      <c r="R4" s="9"/>
      <c r="S4" s="9"/>
      <c r="T4" s="9" t="s">
        <v>266</v>
      </c>
      <c r="U4" s="9" t="s">
        <v>285</v>
      </c>
      <c r="V4" s="9" t="s">
        <v>286</v>
      </c>
      <c r="W4" s="9" t="s">
        <v>287</v>
      </c>
      <c r="X4" s="9" t="s">
        <v>288</v>
      </c>
      <c r="Y4" s="9"/>
      <c r="Z4" s="9"/>
      <c r="AA4" s="9"/>
      <c r="AB4" s="9"/>
      <c r="AC4" s="9"/>
      <c r="AD4" s="9"/>
      <c r="AE4" s="9" t="s">
        <v>291</v>
      </c>
      <c r="AF4" s="9" t="s">
        <v>292</v>
      </c>
      <c r="AG4" s="9" t="s">
        <v>293</v>
      </c>
      <c r="AH4" s="9" t="s">
        <v>135</v>
      </c>
      <c r="AI4" s="9" t="s">
        <v>294</v>
      </c>
      <c r="AJ4" s="9" t="s">
        <v>296</v>
      </c>
      <c r="AK4" s="9" t="s">
        <v>298</v>
      </c>
      <c r="AL4" s="9" t="s">
        <v>299</v>
      </c>
    </row>
    <row r="5" ht="15.0" customHeight="1">
      <c r="A5" s="3">
        <v>5.0</v>
      </c>
      <c r="B5" s="3" t="s">
        <v>154</v>
      </c>
      <c r="C5" s="15" t="s">
        <v>301</v>
      </c>
      <c r="D5" s="16"/>
      <c r="E5" s="18"/>
      <c r="F5" s="19">
        <v>46059.0</v>
      </c>
      <c r="G5" s="3" t="s">
        <v>95</v>
      </c>
      <c r="H5" s="16" t="s">
        <v>185</v>
      </c>
      <c r="I5" s="16" t="s">
        <v>158</v>
      </c>
      <c r="J5" s="21">
        <v>2021.0</v>
      </c>
      <c r="K5" s="3" t="s">
        <v>303</v>
      </c>
      <c r="L5" s="16" t="s">
        <v>304</v>
      </c>
      <c r="M5" s="3" t="s">
        <v>305</v>
      </c>
      <c r="N5" s="3" t="s">
        <v>306</v>
      </c>
      <c r="O5" s="3" t="s">
        <v>307</v>
      </c>
      <c r="P5" s="3" t="s">
        <v>218</v>
      </c>
      <c r="Q5" s="3" t="s">
        <v>308</v>
      </c>
      <c r="R5" s="3"/>
      <c r="S5" s="3"/>
      <c r="T5" s="3"/>
      <c r="U5" s="3" t="s">
        <v>309</v>
      </c>
      <c r="V5" s="3" t="s">
        <v>310</v>
      </c>
      <c r="W5" s="3"/>
      <c r="X5" s="3"/>
      <c r="Y5" s="3"/>
      <c r="Z5" s="3"/>
      <c r="AA5" s="3"/>
      <c r="AB5" s="3"/>
      <c r="AC5" s="3"/>
      <c r="AD5" s="3"/>
      <c r="AE5" s="3" t="s">
        <v>311</v>
      </c>
      <c r="AF5" s="22" t="s">
        <v>312</v>
      </c>
      <c r="AG5" s="16" t="s">
        <v>313</v>
      </c>
      <c r="AH5" s="3" t="s">
        <v>166</v>
      </c>
      <c r="AI5" s="16" t="s">
        <v>314</v>
      </c>
      <c r="AJ5" s="3" t="s">
        <v>315</v>
      </c>
      <c r="AK5" s="3" t="s">
        <v>316</v>
      </c>
      <c r="AL5" s="16" t="s">
        <v>317</v>
      </c>
    </row>
    <row r="6" ht="15.0" customHeight="1">
      <c r="A6" s="9">
        <v>6.0</v>
      </c>
      <c r="B6" s="9" t="s">
        <v>120</v>
      </c>
      <c r="C6" s="10" t="s">
        <v>318</v>
      </c>
      <c r="D6" s="9"/>
      <c r="E6" s="9"/>
      <c r="F6" s="9" t="s">
        <v>319</v>
      </c>
      <c r="G6" s="9" t="s">
        <v>143</v>
      </c>
      <c r="H6" s="9" t="s">
        <v>95</v>
      </c>
      <c r="I6" s="9" t="s">
        <v>101</v>
      </c>
      <c r="J6" s="9" t="s">
        <v>320</v>
      </c>
      <c r="K6" s="9" t="s">
        <v>321</v>
      </c>
      <c r="L6" s="24" t="s">
        <v>322</v>
      </c>
      <c r="M6" s="9" t="s">
        <v>324</v>
      </c>
      <c r="N6" s="9" t="s">
        <v>325</v>
      </c>
      <c r="O6" s="9" t="s">
        <v>326</v>
      </c>
      <c r="P6" s="9"/>
      <c r="Q6" s="9"/>
      <c r="R6" s="9"/>
      <c r="S6" s="9"/>
      <c r="T6" s="9" t="s">
        <v>327</v>
      </c>
      <c r="U6" s="9" t="s">
        <v>148</v>
      </c>
      <c r="V6" s="9" t="s">
        <v>328</v>
      </c>
      <c r="W6" s="9"/>
      <c r="X6" s="9"/>
      <c r="Y6" s="9"/>
      <c r="Z6" s="9"/>
      <c r="AA6" s="9"/>
      <c r="AB6" s="9"/>
      <c r="AC6" s="9"/>
      <c r="AD6" s="9"/>
      <c r="AE6" s="9" t="s">
        <v>329</v>
      </c>
      <c r="AF6" s="9" t="s">
        <v>330</v>
      </c>
      <c r="AG6" s="9"/>
      <c r="AH6" s="9" t="s">
        <v>135</v>
      </c>
      <c r="AI6" s="9" t="s">
        <v>331</v>
      </c>
      <c r="AJ6" s="9" t="s">
        <v>332</v>
      </c>
      <c r="AK6" s="9" t="s">
        <v>333</v>
      </c>
      <c r="AL6" s="9" t="s">
        <v>334</v>
      </c>
    </row>
    <row r="7" ht="15.0" customHeight="1">
      <c r="A7" s="5">
        <v>7.0</v>
      </c>
      <c r="B7" s="5" t="s">
        <v>138</v>
      </c>
      <c r="C7" s="25" t="s">
        <v>335</v>
      </c>
      <c r="D7" s="5"/>
      <c r="E7" s="5"/>
      <c r="F7" s="5" t="s">
        <v>319</v>
      </c>
      <c r="G7" s="5" t="s">
        <v>217</v>
      </c>
      <c r="H7" s="5" t="s">
        <v>95</v>
      </c>
      <c r="I7" s="5" t="s">
        <v>101</v>
      </c>
      <c r="J7" s="5" t="s">
        <v>336</v>
      </c>
      <c r="K7" s="5" t="s">
        <v>337</v>
      </c>
      <c r="L7" s="5" t="s">
        <v>338</v>
      </c>
      <c r="M7" s="5" t="s">
        <v>339</v>
      </c>
      <c r="N7" s="5" t="s">
        <v>340</v>
      </c>
      <c r="O7" s="5" t="s">
        <v>341</v>
      </c>
      <c r="P7" s="5" t="s">
        <v>205</v>
      </c>
      <c r="Q7" s="5" t="s">
        <v>104</v>
      </c>
      <c r="R7" s="5">
        <v>500.0</v>
      </c>
      <c r="S7" s="5" t="s">
        <v>249</v>
      </c>
      <c r="T7" s="5"/>
      <c r="U7" s="5" t="s">
        <v>342</v>
      </c>
      <c r="V7" s="5" t="s">
        <v>343</v>
      </c>
      <c r="W7" s="5" t="s">
        <v>344</v>
      </c>
      <c r="X7" s="5" t="s">
        <v>345</v>
      </c>
      <c r="Y7" s="5"/>
      <c r="Z7" s="5"/>
      <c r="AA7" s="5"/>
      <c r="AB7" s="5"/>
      <c r="AC7" s="5"/>
      <c r="AD7" s="5"/>
      <c r="AE7" s="5" t="s">
        <v>346</v>
      </c>
      <c r="AF7" s="5" t="s">
        <v>242</v>
      </c>
      <c r="AG7" s="5" t="s">
        <v>347</v>
      </c>
      <c r="AH7" s="5" t="s">
        <v>166</v>
      </c>
      <c r="AI7" s="5" t="s">
        <v>348</v>
      </c>
      <c r="AJ7" s="5" t="s">
        <v>167</v>
      </c>
      <c r="AK7" s="5" t="s">
        <v>153</v>
      </c>
      <c r="AL7" s="5" t="s">
        <v>349</v>
      </c>
    </row>
    <row r="8" ht="15.0" customHeight="1">
      <c r="A8" s="5">
        <v>8.0</v>
      </c>
      <c r="B8" s="5" t="s">
        <v>138</v>
      </c>
      <c r="C8" s="25" t="s">
        <v>350</v>
      </c>
      <c r="D8" s="5"/>
      <c r="E8" s="5"/>
      <c r="F8" s="5" t="s">
        <v>319</v>
      </c>
      <c r="G8" s="5" t="s">
        <v>217</v>
      </c>
      <c r="H8" s="5" t="s">
        <v>95</v>
      </c>
      <c r="I8" s="5" t="s">
        <v>101</v>
      </c>
      <c r="J8" s="5" t="s">
        <v>336</v>
      </c>
      <c r="K8" s="5" t="s">
        <v>337</v>
      </c>
      <c r="L8" s="5" t="s">
        <v>338</v>
      </c>
      <c r="M8" s="5" t="s">
        <v>339</v>
      </c>
      <c r="N8" s="5" t="s">
        <v>352</v>
      </c>
      <c r="O8" s="5" t="s">
        <v>341</v>
      </c>
      <c r="P8" s="5" t="s">
        <v>205</v>
      </c>
      <c r="Q8" s="5" t="s">
        <v>104</v>
      </c>
      <c r="R8" s="5">
        <v>500.0</v>
      </c>
      <c r="S8" s="5" t="s">
        <v>249</v>
      </c>
      <c r="T8" s="5"/>
      <c r="U8" s="5" t="s">
        <v>342</v>
      </c>
      <c r="V8" s="5" t="s">
        <v>353</v>
      </c>
      <c r="W8" s="5" t="s">
        <v>344</v>
      </c>
      <c r="X8" s="5" t="s">
        <v>354</v>
      </c>
      <c r="Y8" s="5"/>
      <c r="Z8" s="5"/>
      <c r="AA8" s="5"/>
      <c r="AB8" s="5"/>
      <c r="AC8" s="5"/>
      <c r="AD8" s="5"/>
      <c r="AE8" s="5" t="s">
        <v>346</v>
      </c>
      <c r="AF8" s="5" t="s">
        <v>242</v>
      </c>
      <c r="AG8" s="5" t="s">
        <v>347</v>
      </c>
      <c r="AH8" s="5" t="s">
        <v>166</v>
      </c>
      <c r="AI8" s="5" t="s">
        <v>348</v>
      </c>
      <c r="AJ8" s="5" t="s">
        <v>167</v>
      </c>
      <c r="AK8" s="5" t="s">
        <v>153</v>
      </c>
      <c r="AL8" s="5" t="s">
        <v>349</v>
      </c>
    </row>
    <row r="9" ht="15.0" customHeight="1">
      <c r="A9" s="5">
        <v>9.0</v>
      </c>
      <c r="B9" s="5" t="s">
        <v>138</v>
      </c>
      <c r="C9" s="25" t="s">
        <v>350</v>
      </c>
      <c r="D9" s="5"/>
      <c r="E9" s="5"/>
      <c r="F9" s="5" t="s">
        <v>319</v>
      </c>
      <c r="G9" s="5" t="s">
        <v>217</v>
      </c>
      <c r="H9" s="5" t="s">
        <v>95</v>
      </c>
      <c r="I9" s="5" t="s">
        <v>101</v>
      </c>
      <c r="J9" s="5" t="s">
        <v>336</v>
      </c>
      <c r="K9" s="5" t="s">
        <v>337</v>
      </c>
      <c r="L9" s="5" t="s">
        <v>338</v>
      </c>
      <c r="M9" s="5" t="s">
        <v>339</v>
      </c>
      <c r="N9" s="5" t="s">
        <v>356</v>
      </c>
      <c r="O9" s="5" t="s">
        <v>341</v>
      </c>
      <c r="P9" s="5" t="s">
        <v>205</v>
      </c>
      <c r="Q9" s="5" t="s">
        <v>104</v>
      </c>
      <c r="R9" s="5">
        <v>500.0</v>
      </c>
      <c r="S9" s="5" t="s">
        <v>249</v>
      </c>
      <c r="T9" s="5"/>
      <c r="U9" s="5" t="s">
        <v>342</v>
      </c>
      <c r="V9" s="5" t="s">
        <v>357</v>
      </c>
      <c r="W9" s="5" t="s">
        <v>344</v>
      </c>
      <c r="X9" s="5" t="s">
        <v>358</v>
      </c>
      <c r="Y9" s="5"/>
      <c r="Z9" s="5"/>
      <c r="AA9" s="5"/>
      <c r="AB9" s="5"/>
      <c r="AC9" s="5"/>
      <c r="AD9" s="5"/>
      <c r="AE9" s="5" t="s">
        <v>346</v>
      </c>
      <c r="AF9" s="5" t="s">
        <v>242</v>
      </c>
      <c r="AG9" s="5" t="s">
        <v>347</v>
      </c>
      <c r="AH9" s="5" t="s">
        <v>166</v>
      </c>
      <c r="AI9" s="5" t="s">
        <v>348</v>
      </c>
      <c r="AJ9" s="5" t="s">
        <v>167</v>
      </c>
      <c r="AK9" s="5" t="s">
        <v>153</v>
      </c>
      <c r="AL9" s="5" t="s">
        <v>349</v>
      </c>
    </row>
    <row r="10" ht="15.0" customHeight="1">
      <c r="A10" s="5">
        <v>10.0</v>
      </c>
      <c r="B10" s="5" t="s">
        <v>138</v>
      </c>
      <c r="C10" s="25" t="s">
        <v>360</v>
      </c>
      <c r="D10" s="5"/>
      <c r="E10" s="5"/>
      <c r="F10" s="5" t="s">
        <v>319</v>
      </c>
      <c r="G10" s="5" t="s">
        <v>143</v>
      </c>
      <c r="H10" s="5" t="s">
        <v>95</v>
      </c>
      <c r="I10" s="5" t="s">
        <v>101</v>
      </c>
      <c r="J10" s="5" t="s">
        <v>361</v>
      </c>
      <c r="K10" s="5" t="s">
        <v>362</v>
      </c>
      <c r="L10" s="5" t="s">
        <v>363</v>
      </c>
      <c r="M10" s="5" t="s">
        <v>364</v>
      </c>
      <c r="N10" s="5" t="s">
        <v>195</v>
      </c>
      <c r="O10" s="5" t="s">
        <v>365</v>
      </c>
      <c r="P10" s="5" t="s">
        <v>228</v>
      </c>
      <c r="Q10" s="5"/>
      <c r="R10" s="5"/>
      <c r="S10" s="5"/>
      <c r="T10" s="5" t="s">
        <v>366</v>
      </c>
      <c r="U10" s="5" t="s">
        <v>367</v>
      </c>
      <c r="V10" s="5" t="s">
        <v>368</v>
      </c>
      <c r="W10" s="5" t="s">
        <v>369</v>
      </c>
      <c r="X10" s="5" t="s">
        <v>370</v>
      </c>
      <c r="Y10" s="5" t="s">
        <v>371</v>
      </c>
      <c r="Z10" s="5" t="s">
        <v>372</v>
      </c>
      <c r="AA10" s="5"/>
      <c r="AB10" s="5"/>
      <c r="AC10" s="5"/>
      <c r="AD10" s="5"/>
      <c r="AE10" s="5" t="s">
        <v>373</v>
      </c>
      <c r="AF10" s="5" t="s">
        <v>374</v>
      </c>
      <c r="AG10" s="5" t="s">
        <v>375</v>
      </c>
      <c r="AH10" s="5" t="s">
        <v>152</v>
      </c>
      <c r="AI10" s="5" t="s">
        <v>376</v>
      </c>
      <c r="AJ10" s="5" t="s">
        <v>332</v>
      </c>
      <c r="AK10" s="5" t="s">
        <v>137</v>
      </c>
      <c r="AL10" s="5" t="s">
        <v>377</v>
      </c>
    </row>
    <row r="11" ht="15.0" customHeight="1">
      <c r="A11" s="9">
        <v>11.0</v>
      </c>
      <c r="B11" s="9" t="s">
        <v>120</v>
      </c>
      <c r="C11" s="10" t="s">
        <v>378</v>
      </c>
      <c r="D11" s="9"/>
      <c r="E11" s="9"/>
      <c r="F11" s="12">
        <v>46059.0</v>
      </c>
      <c r="G11" s="9" t="s">
        <v>95</v>
      </c>
      <c r="H11" s="9" t="s">
        <v>143</v>
      </c>
      <c r="I11" s="9" t="s">
        <v>158</v>
      </c>
      <c r="J11" s="9" t="s">
        <v>379</v>
      </c>
      <c r="K11" s="9" t="s">
        <v>380</v>
      </c>
      <c r="L11" s="9" t="s">
        <v>381</v>
      </c>
      <c r="M11" s="9" t="s">
        <v>382</v>
      </c>
      <c r="N11" s="9" t="s">
        <v>195</v>
      </c>
      <c r="O11" s="9" t="s">
        <v>383</v>
      </c>
      <c r="P11" s="9" t="s">
        <v>205</v>
      </c>
      <c r="Q11" s="9" t="s">
        <v>104</v>
      </c>
      <c r="R11" s="9"/>
      <c r="S11" s="9"/>
      <c r="T11" s="9" t="s">
        <v>384</v>
      </c>
      <c r="U11" s="9" t="s">
        <v>385</v>
      </c>
      <c r="V11" s="9" t="s">
        <v>386</v>
      </c>
      <c r="W11" s="9"/>
      <c r="X11" s="9"/>
      <c r="Y11" s="9"/>
      <c r="Z11" s="9"/>
      <c r="AA11" s="9"/>
      <c r="AB11" s="9"/>
      <c r="AC11" s="9"/>
      <c r="AD11" s="9"/>
      <c r="AE11" s="9" t="s">
        <v>387</v>
      </c>
      <c r="AF11" s="9" t="s">
        <v>388</v>
      </c>
      <c r="AG11" s="9"/>
      <c r="AH11" s="9" t="s">
        <v>115</v>
      </c>
      <c r="AI11" s="9" t="s">
        <v>389</v>
      </c>
      <c r="AJ11" s="9" t="s">
        <v>390</v>
      </c>
      <c r="AK11" s="9" t="s">
        <v>391</v>
      </c>
      <c r="AL11" s="9" t="s">
        <v>392</v>
      </c>
    </row>
    <row r="12" ht="15.0" customHeight="1">
      <c r="A12" s="9">
        <v>12.0</v>
      </c>
      <c r="B12" s="9" t="s">
        <v>120</v>
      </c>
      <c r="C12" s="10" t="s">
        <v>393</v>
      </c>
      <c r="D12" s="9"/>
      <c r="E12" s="9"/>
      <c r="F12" s="9" t="s">
        <v>183</v>
      </c>
      <c r="G12" s="9" t="s">
        <v>185</v>
      </c>
      <c r="H12" s="9" t="s">
        <v>143</v>
      </c>
      <c r="I12" s="9" t="s">
        <v>158</v>
      </c>
      <c r="J12" s="9" t="s">
        <v>186</v>
      </c>
      <c r="K12" s="9" t="s">
        <v>188</v>
      </c>
      <c r="L12" s="9" t="s">
        <v>190</v>
      </c>
      <c r="M12" s="9" t="s">
        <v>192</v>
      </c>
      <c r="N12" s="9" t="s">
        <v>195</v>
      </c>
      <c r="O12" s="9" t="s">
        <v>394</v>
      </c>
      <c r="P12" s="9" t="s">
        <v>127</v>
      </c>
      <c r="Q12" s="9" t="s">
        <v>104</v>
      </c>
      <c r="R12" s="9">
        <v>500.0</v>
      </c>
      <c r="S12" s="9" t="s">
        <v>105</v>
      </c>
      <c r="T12" s="9" t="s">
        <v>396</v>
      </c>
      <c r="U12" s="9" t="s">
        <v>397</v>
      </c>
      <c r="V12" s="9" t="s">
        <v>398</v>
      </c>
      <c r="W12" s="9" t="s">
        <v>399</v>
      </c>
      <c r="X12" s="9" t="s">
        <v>400</v>
      </c>
      <c r="Y12" s="9"/>
      <c r="Z12" s="9"/>
      <c r="AA12" s="9"/>
      <c r="AB12" s="9"/>
      <c r="AC12" s="9"/>
      <c r="AD12" s="9"/>
      <c r="AE12" s="9" t="s">
        <v>401</v>
      </c>
      <c r="AF12" s="9" t="s">
        <v>402</v>
      </c>
      <c r="AG12" s="9" t="s">
        <v>113</v>
      </c>
      <c r="AH12" s="9" t="s">
        <v>115</v>
      </c>
      <c r="AI12" s="9" t="s">
        <v>403</v>
      </c>
      <c r="AJ12" s="9" t="s">
        <v>404</v>
      </c>
      <c r="AK12" s="9" t="s">
        <v>405</v>
      </c>
      <c r="AL12" s="9" t="s">
        <v>406</v>
      </c>
    </row>
    <row r="13" ht="15.0" customHeight="1">
      <c r="A13" s="9">
        <v>13.0</v>
      </c>
      <c r="B13" s="9" t="s">
        <v>120</v>
      </c>
      <c r="C13" s="10" t="s">
        <v>408</v>
      </c>
      <c r="D13" s="9"/>
      <c r="E13" s="9"/>
      <c r="F13" s="9" t="s">
        <v>183</v>
      </c>
      <c r="G13" s="9" t="s">
        <v>185</v>
      </c>
      <c r="H13" s="9" t="s">
        <v>143</v>
      </c>
      <c r="I13" s="9" t="s">
        <v>158</v>
      </c>
      <c r="J13" s="9" t="s">
        <v>186</v>
      </c>
      <c r="K13" s="9" t="s">
        <v>188</v>
      </c>
      <c r="L13" s="9" t="s">
        <v>190</v>
      </c>
      <c r="M13" s="9" t="s">
        <v>192</v>
      </c>
      <c r="N13" s="9" t="s">
        <v>195</v>
      </c>
      <c r="O13" s="9" t="s">
        <v>197</v>
      </c>
      <c r="P13" s="9" t="s">
        <v>127</v>
      </c>
      <c r="Q13" s="9" t="s">
        <v>104</v>
      </c>
      <c r="R13" s="9">
        <v>500.0</v>
      </c>
      <c r="S13" s="9" t="s">
        <v>105</v>
      </c>
      <c r="T13" s="9" t="s">
        <v>396</v>
      </c>
      <c r="U13" s="9" t="s">
        <v>397</v>
      </c>
      <c r="V13" s="9" t="s">
        <v>409</v>
      </c>
      <c r="W13" s="9" t="s">
        <v>399</v>
      </c>
      <c r="X13" s="9" t="s">
        <v>410</v>
      </c>
      <c r="Y13" s="9"/>
      <c r="Z13" s="9"/>
      <c r="AA13" s="9"/>
      <c r="AB13" s="9"/>
      <c r="AC13" s="9"/>
      <c r="AD13" s="9"/>
      <c r="AE13" s="9" t="s">
        <v>411</v>
      </c>
      <c r="AF13" s="9" t="s">
        <v>412</v>
      </c>
      <c r="AG13" s="9" t="s">
        <v>113</v>
      </c>
      <c r="AH13" s="9" t="s">
        <v>115</v>
      </c>
      <c r="AI13" s="9" t="s">
        <v>413</v>
      </c>
      <c r="AJ13" s="9" t="s">
        <v>414</v>
      </c>
      <c r="AK13" s="9" t="s">
        <v>415</v>
      </c>
      <c r="AL13" s="9" t="s">
        <v>416</v>
      </c>
    </row>
    <row r="14" ht="15.0" customHeight="1">
      <c r="A14" s="9">
        <v>14.0</v>
      </c>
      <c r="B14" s="9" t="s">
        <v>120</v>
      </c>
      <c r="C14" s="10" t="s">
        <v>417</v>
      </c>
      <c r="D14" s="9"/>
      <c r="E14" s="9"/>
      <c r="F14" s="9" t="s">
        <v>183</v>
      </c>
      <c r="G14" s="9" t="s">
        <v>185</v>
      </c>
      <c r="H14" s="9" t="s">
        <v>143</v>
      </c>
      <c r="I14" s="9" t="s">
        <v>158</v>
      </c>
      <c r="J14" s="9" t="s">
        <v>186</v>
      </c>
      <c r="K14" s="9" t="s">
        <v>188</v>
      </c>
      <c r="L14" s="9" t="s">
        <v>190</v>
      </c>
      <c r="M14" s="9" t="s">
        <v>192</v>
      </c>
      <c r="N14" s="9" t="s">
        <v>195</v>
      </c>
      <c r="O14" s="9" t="s">
        <v>394</v>
      </c>
      <c r="P14" s="9" t="s">
        <v>127</v>
      </c>
      <c r="Q14" s="9" t="s">
        <v>104</v>
      </c>
      <c r="R14" s="9">
        <v>500.0</v>
      </c>
      <c r="S14" s="9" t="s">
        <v>105</v>
      </c>
      <c r="T14" s="9" t="s">
        <v>203</v>
      </c>
      <c r="U14" s="9" t="s">
        <v>204</v>
      </c>
      <c r="V14" s="9" t="s">
        <v>206</v>
      </c>
      <c r="W14" s="9"/>
      <c r="X14" s="9"/>
      <c r="Y14" s="9"/>
      <c r="Z14" s="9"/>
      <c r="AA14" s="9"/>
      <c r="AB14" s="9"/>
      <c r="AC14" s="9"/>
      <c r="AD14" s="9"/>
      <c r="AE14" s="9" t="s">
        <v>418</v>
      </c>
      <c r="AF14" s="9" t="s">
        <v>111</v>
      </c>
      <c r="AG14" s="9" t="s">
        <v>113</v>
      </c>
      <c r="AH14" s="9" t="s">
        <v>115</v>
      </c>
      <c r="AI14" s="9" t="s">
        <v>419</v>
      </c>
      <c r="AJ14" s="9" t="s">
        <v>420</v>
      </c>
      <c r="AK14" s="9" t="s">
        <v>421</v>
      </c>
      <c r="AL14" s="9" t="s">
        <v>422</v>
      </c>
    </row>
    <row r="15" ht="15.0" customHeight="1">
      <c r="A15" s="5">
        <v>15.0</v>
      </c>
      <c r="B15" s="5" t="s">
        <v>138</v>
      </c>
      <c r="C15" s="25" t="s">
        <v>423</v>
      </c>
      <c r="D15" s="5"/>
      <c r="E15" s="5"/>
      <c r="F15" s="5" t="s">
        <v>424</v>
      </c>
      <c r="G15" s="5" t="s">
        <v>125</v>
      </c>
      <c r="H15" s="5" t="s">
        <v>227</v>
      </c>
      <c r="I15" s="5" t="s">
        <v>101</v>
      </c>
      <c r="J15" s="5" t="s">
        <v>426</v>
      </c>
      <c r="K15" s="5" t="s">
        <v>427</v>
      </c>
      <c r="L15" s="5" t="s">
        <v>428</v>
      </c>
      <c r="M15" s="5" t="s">
        <v>429</v>
      </c>
      <c r="N15" s="5" t="s">
        <v>195</v>
      </c>
      <c r="O15" s="5" t="s">
        <v>430</v>
      </c>
      <c r="P15" s="5" t="s">
        <v>431</v>
      </c>
      <c r="Q15" s="5"/>
      <c r="R15" s="5"/>
      <c r="S15" s="5"/>
      <c r="T15" s="5" t="s">
        <v>432</v>
      </c>
      <c r="U15" s="5" t="s">
        <v>433</v>
      </c>
      <c r="V15" s="5" t="s">
        <v>434</v>
      </c>
      <c r="W15" s="5" t="s">
        <v>435</v>
      </c>
      <c r="X15" s="5" t="s">
        <v>436</v>
      </c>
      <c r="Y15" s="5" t="s">
        <v>437</v>
      </c>
      <c r="Z15" s="5" t="s">
        <v>438</v>
      </c>
      <c r="AA15" s="5" t="s">
        <v>439</v>
      </c>
      <c r="AB15" s="5" t="s">
        <v>440</v>
      </c>
      <c r="AC15" s="5" t="s">
        <v>441</v>
      </c>
      <c r="AD15" s="5" t="s">
        <v>442</v>
      </c>
      <c r="AE15" s="5" t="s">
        <v>443</v>
      </c>
      <c r="AF15" s="5" t="s">
        <v>444</v>
      </c>
      <c r="AG15" s="5" t="s">
        <v>445</v>
      </c>
      <c r="AH15" s="5" t="s">
        <v>135</v>
      </c>
      <c r="AI15" s="5" t="s">
        <v>446</v>
      </c>
      <c r="AJ15" s="5" t="s">
        <v>447</v>
      </c>
      <c r="AK15" s="5" t="s">
        <v>448</v>
      </c>
      <c r="AL15" s="5"/>
    </row>
    <row r="16" ht="15.0" customHeight="1">
      <c r="A16" s="5">
        <v>16.0</v>
      </c>
      <c r="B16" s="5" t="s">
        <v>138</v>
      </c>
      <c r="C16" s="25" t="s">
        <v>450</v>
      </c>
      <c r="D16" s="5"/>
      <c r="E16" s="5"/>
      <c r="F16" s="5" t="s">
        <v>424</v>
      </c>
      <c r="G16" s="5" t="s">
        <v>125</v>
      </c>
      <c r="H16" s="5" t="s">
        <v>227</v>
      </c>
      <c r="I16" s="5" t="s">
        <v>101</v>
      </c>
      <c r="J16" s="5" t="s">
        <v>451</v>
      </c>
      <c r="K16" s="5" t="s">
        <v>452</v>
      </c>
      <c r="L16" s="5" t="s">
        <v>453</v>
      </c>
      <c r="M16" s="5" t="s">
        <v>265</v>
      </c>
      <c r="N16" s="5" t="s">
        <v>454</v>
      </c>
      <c r="O16" s="5" t="s">
        <v>455</v>
      </c>
      <c r="P16" s="5" t="s">
        <v>456</v>
      </c>
      <c r="Q16" s="5" t="s">
        <v>457</v>
      </c>
      <c r="R16" s="5"/>
      <c r="S16" s="5"/>
      <c r="T16" s="5" t="s">
        <v>458</v>
      </c>
      <c r="U16" s="5" t="s">
        <v>459</v>
      </c>
      <c r="V16" s="5" t="s">
        <v>460</v>
      </c>
      <c r="W16" s="5" t="s">
        <v>461</v>
      </c>
      <c r="X16" s="5" t="s">
        <v>462</v>
      </c>
      <c r="Y16" s="5" t="s">
        <v>463</v>
      </c>
      <c r="Z16" s="5" t="s">
        <v>464</v>
      </c>
      <c r="AA16" s="5" t="s">
        <v>465</v>
      </c>
      <c r="AB16" s="5" t="s">
        <v>466</v>
      </c>
      <c r="AC16" s="5" t="s">
        <v>467</v>
      </c>
      <c r="AD16" s="5" t="s">
        <v>468</v>
      </c>
      <c r="AE16" s="5" t="s">
        <v>469</v>
      </c>
      <c r="AF16" s="5" t="s">
        <v>470</v>
      </c>
      <c r="AG16" s="5" t="s">
        <v>471</v>
      </c>
      <c r="AH16" s="5" t="s">
        <v>166</v>
      </c>
      <c r="AI16" s="5" t="s">
        <v>472</v>
      </c>
      <c r="AJ16" s="5" t="s">
        <v>473</v>
      </c>
      <c r="AK16" s="5" t="s">
        <v>474</v>
      </c>
      <c r="AL16" s="5" t="s">
        <v>475</v>
      </c>
    </row>
    <row r="17" ht="15.0" customHeight="1">
      <c r="A17" s="9">
        <v>17.0</v>
      </c>
      <c r="B17" s="9" t="s">
        <v>120</v>
      </c>
      <c r="C17" s="10" t="s">
        <v>476</v>
      </c>
      <c r="D17" s="9"/>
      <c r="E17" s="9"/>
      <c r="F17" s="9" t="s">
        <v>319</v>
      </c>
      <c r="G17" s="9" t="s">
        <v>143</v>
      </c>
      <c r="H17" s="9" t="s">
        <v>227</v>
      </c>
      <c r="I17" s="9" t="s">
        <v>101</v>
      </c>
      <c r="J17" s="9" t="s">
        <v>320</v>
      </c>
      <c r="K17" s="9" t="s">
        <v>321</v>
      </c>
      <c r="L17" s="9" t="s">
        <v>478</v>
      </c>
      <c r="M17" s="9" t="s">
        <v>324</v>
      </c>
      <c r="N17" s="9" t="s">
        <v>479</v>
      </c>
      <c r="O17" s="9" t="s">
        <v>326</v>
      </c>
      <c r="P17" s="9"/>
      <c r="Q17" s="9"/>
      <c r="R17" s="9"/>
      <c r="S17" s="9"/>
      <c r="T17" s="9" t="s">
        <v>327</v>
      </c>
      <c r="U17" s="9" t="s">
        <v>148</v>
      </c>
      <c r="V17" s="9" t="s">
        <v>480</v>
      </c>
      <c r="W17" s="9"/>
      <c r="X17" s="9"/>
      <c r="Y17" s="9"/>
      <c r="Z17" s="9"/>
      <c r="AA17" s="9"/>
      <c r="AB17" s="9"/>
      <c r="AC17" s="9"/>
      <c r="AD17" s="9"/>
      <c r="AE17" s="9" t="s">
        <v>329</v>
      </c>
      <c r="AF17" s="9" t="s">
        <v>330</v>
      </c>
      <c r="AG17" s="9"/>
      <c r="AH17" s="9" t="s">
        <v>135</v>
      </c>
      <c r="AI17" s="9" t="s">
        <v>331</v>
      </c>
      <c r="AJ17" s="9" t="s">
        <v>332</v>
      </c>
      <c r="AK17" s="9" t="s">
        <v>333</v>
      </c>
      <c r="AL17" s="9" t="s">
        <v>482</v>
      </c>
    </row>
    <row r="18" ht="15.0" customHeight="1">
      <c r="A18" s="9">
        <v>18.0</v>
      </c>
      <c r="B18" s="9" t="s">
        <v>120</v>
      </c>
      <c r="C18" s="10" t="s">
        <v>476</v>
      </c>
      <c r="D18" s="9"/>
      <c r="E18" s="9"/>
      <c r="F18" s="9" t="s">
        <v>319</v>
      </c>
      <c r="G18" s="9" t="s">
        <v>143</v>
      </c>
      <c r="H18" s="9" t="s">
        <v>227</v>
      </c>
      <c r="I18" s="9" t="s">
        <v>101</v>
      </c>
      <c r="J18" s="9" t="s">
        <v>320</v>
      </c>
      <c r="K18" s="9" t="s">
        <v>321</v>
      </c>
      <c r="L18" s="9" t="s">
        <v>478</v>
      </c>
      <c r="M18" s="9" t="s">
        <v>324</v>
      </c>
      <c r="N18" s="9" t="s">
        <v>483</v>
      </c>
      <c r="O18" s="9" t="s">
        <v>326</v>
      </c>
      <c r="P18" s="9"/>
      <c r="Q18" s="9"/>
      <c r="R18" s="9"/>
      <c r="S18" s="9"/>
      <c r="T18" s="9" t="s">
        <v>327</v>
      </c>
      <c r="U18" s="9" t="s">
        <v>148</v>
      </c>
      <c r="V18" s="9" t="s">
        <v>484</v>
      </c>
      <c r="W18" s="9"/>
      <c r="X18" s="9"/>
      <c r="Y18" s="9"/>
      <c r="Z18" s="9"/>
      <c r="AA18" s="9"/>
      <c r="AB18" s="9"/>
      <c r="AC18" s="9"/>
      <c r="AD18" s="9"/>
      <c r="AE18" s="9" t="s">
        <v>329</v>
      </c>
      <c r="AF18" s="9" t="s">
        <v>330</v>
      </c>
      <c r="AG18" s="9"/>
      <c r="AH18" s="9" t="s">
        <v>135</v>
      </c>
      <c r="AI18" s="9" t="s">
        <v>331</v>
      </c>
      <c r="AJ18" s="9" t="s">
        <v>332</v>
      </c>
      <c r="AK18" s="9" t="s">
        <v>333</v>
      </c>
      <c r="AL18" s="9" t="s">
        <v>485</v>
      </c>
    </row>
    <row r="19" ht="15.0" customHeight="1">
      <c r="A19" s="9">
        <v>19.0</v>
      </c>
      <c r="B19" s="9" t="s">
        <v>120</v>
      </c>
      <c r="C19" s="10" t="s">
        <v>476</v>
      </c>
      <c r="D19" s="9"/>
      <c r="E19" s="9"/>
      <c r="F19" s="9" t="s">
        <v>319</v>
      </c>
      <c r="G19" s="9" t="s">
        <v>143</v>
      </c>
      <c r="H19" s="9" t="s">
        <v>227</v>
      </c>
      <c r="I19" s="9" t="s">
        <v>101</v>
      </c>
      <c r="J19" s="9" t="s">
        <v>320</v>
      </c>
      <c r="K19" s="9" t="s">
        <v>321</v>
      </c>
      <c r="L19" s="9" t="s">
        <v>478</v>
      </c>
      <c r="M19" s="9" t="s">
        <v>324</v>
      </c>
      <c r="N19" s="9" t="s">
        <v>486</v>
      </c>
      <c r="O19" s="9" t="s">
        <v>326</v>
      </c>
      <c r="P19" s="9"/>
      <c r="Q19" s="9"/>
      <c r="R19" s="9"/>
      <c r="S19" s="9"/>
      <c r="T19" s="9" t="s">
        <v>327</v>
      </c>
      <c r="U19" s="9" t="s">
        <v>148</v>
      </c>
      <c r="V19" s="9" t="s">
        <v>328</v>
      </c>
      <c r="W19" s="9"/>
      <c r="X19" s="9"/>
      <c r="Y19" s="9"/>
      <c r="Z19" s="9"/>
      <c r="AA19" s="9"/>
      <c r="AB19" s="9"/>
      <c r="AC19" s="9"/>
      <c r="AD19" s="9"/>
      <c r="AE19" s="9" t="s">
        <v>329</v>
      </c>
      <c r="AF19" s="9" t="s">
        <v>330</v>
      </c>
      <c r="AG19" s="9"/>
      <c r="AH19" s="9" t="s">
        <v>135</v>
      </c>
      <c r="AI19" s="9" t="s">
        <v>331</v>
      </c>
      <c r="AJ19" s="9" t="s">
        <v>332</v>
      </c>
      <c r="AK19" s="9" t="s">
        <v>333</v>
      </c>
      <c r="AL19" s="9" t="s">
        <v>487</v>
      </c>
    </row>
    <row r="20" ht="15.0" customHeight="1">
      <c r="A20" s="9">
        <v>20.0</v>
      </c>
      <c r="B20" s="9" t="s">
        <v>120</v>
      </c>
      <c r="C20" s="10" t="s">
        <v>488</v>
      </c>
      <c r="D20" s="9"/>
      <c r="E20" s="9"/>
      <c r="F20" s="9" t="s">
        <v>183</v>
      </c>
      <c r="G20" s="9" t="s">
        <v>202</v>
      </c>
      <c r="H20" s="9" t="s">
        <v>125</v>
      </c>
      <c r="I20" s="9" t="s">
        <v>101</v>
      </c>
      <c r="J20" s="9" t="s">
        <v>489</v>
      </c>
      <c r="K20" s="9" t="s">
        <v>490</v>
      </c>
      <c r="L20" s="9" t="s">
        <v>491</v>
      </c>
      <c r="M20" s="9" t="s">
        <v>364</v>
      </c>
      <c r="N20" s="9" t="s">
        <v>195</v>
      </c>
      <c r="O20" s="9" t="s">
        <v>492</v>
      </c>
      <c r="P20" s="9" t="s">
        <v>103</v>
      </c>
      <c r="Q20" s="9" t="s">
        <v>104</v>
      </c>
      <c r="R20" s="9">
        <v>100.0</v>
      </c>
      <c r="S20" s="9" t="s">
        <v>105</v>
      </c>
      <c r="T20" s="9" t="s">
        <v>493</v>
      </c>
      <c r="U20" s="9" t="s">
        <v>148</v>
      </c>
      <c r="V20" s="9" t="s">
        <v>494</v>
      </c>
      <c r="W20" s="9" t="s">
        <v>209</v>
      </c>
      <c r="X20" s="9">
        <v>0.9</v>
      </c>
      <c r="Y20" s="9"/>
      <c r="Z20" s="9"/>
      <c r="AA20" s="9"/>
      <c r="AB20" s="9"/>
      <c r="AC20" s="9"/>
      <c r="AD20" s="9"/>
      <c r="AE20" s="9" t="s">
        <v>495</v>
      </c>
      <c r="AF20" s="9" t="s">
        <v>496</v>
      </c>
      <c r="AG20" s="9" t="s">
        <v>113</v>
      </c>
      <c r="AH20" s="9" t="s">
        <v>135</v>
      </c>
      <c r="AI20" s="9" t="s">
        <v>497</v>
      </c>
      <c r="AJ20" s="9" t="s">
        <v>117</v>
      </c>
      <c r="AK20" s="9" t="s">
        <v>498</v>
      </c>
      <c r="AL20" s="9" t="s">
        <v>499</v>
      </c>
    </row>
    <row r="21" ht="15.0" customHeight="1">
      <c r="A21" s="9">
        <v>21.0</v>
      </c>
      <c r="B21" s="9" t="s">
        <v>120</v>
      </c>
      <c r="C21" s="10" t="s">
        <v>500</v>
      </c>
      <c r="D21" s="9"/>
      <c r="E21" s="9"/>
      <c r="F21" s="9" t="s">
        <v>183</v>
      </c>
      <c r="G21" s="9" t="s">
        <v>202</v>
      </c>
      <c r="H21" s="9" t="s">
        <v>125</v>
      </c>
      <c r="I21" s="9" t="s">
        <v>101</v>
      </c>
      <c r="J21" s="9" t="s">
        <v>489</v>
      </c>
      <c r="K21" s="9" t="s">
        <v>490</v>
      </c>
      <c r="L21" s="9" t="s">
        <v>491</v>
      </c>
      <c r="M21" s="9" t="s">
        <v>364</v>
      </c>
      <c r="N21" s="9" t="s">
        <v>195</v>
      </c>
      <c r="O21" s="9" t="s">
        <v>492</v>
      </c>
      <c r="P21" s="9" t="s">
        <v>103</v>
      </c>
      <c r="Q21" s="9" t="s">
        <v>104</v>
      </c>
      <c r="R21" s="9">
        <v>200.0</v>
      </c>
      <c r="S21" s="9" t="s">
        <v>105</v>
      </c>
      <c r="T21" s="9" t="s">
        <v>493</v>
      </c>
      <c r="U21" s="9" t="s">
        <v>148</v>
      </c>
      <c r="V21" s="9" t="s">
        <v>494</v>
      </c>
      <c r="W21" s="9" t="s">
        <v>209</v>
      </c>
      <c r="X21" s="9">
        <v>0.9</v>
      </c>
      <c r="Y21" s="9"/>
      <c r="Z21" s="9"/>
      <c r="AA21" s="9"/>
      <c r="AB21" s="9"/>
      <c r="AC21" s="9"/>
      <c r="AD21" s="9"/>
      <c r="AE21" s="9" t="s">
        <v>495</v>
      </c>
      <c r="AF21" s="9" t="s">
        <v>496</v>
      </c>
      <c r="AG21" s="9" t="s">
        <v>113</v>
      </c>
      <c r="AH21" s="9" t="s">
        <v>135</v>
      </c>
      <c r="AI21" s="9" t="s">
        <v>506</v>
      </c>
      <c r="AJ21" s="9" t="s">
        <v>507</v>
      </c>
      <c r="AK21" s="9" t="s">
        <v>508</v>
      </c>
      <c r="AL21" s="9" t="s">
        <v>509</v>
      </c>
    </row>
    <row r="22" ht="15.0" customHeight="1">
      <c r="A22" s="9">
        <v>22.0</v>
      </c>
      <c r="B22" s="9" t="s">
        <v>120</v>
      </c>
      <c r="C22" s="10" t="s">
        <v>510</v>
      </c>
      <c r="D22" s="9"/>
      <c r="E22" s="9"/>
      <c r="F22" s="9" t="s">
        <v>183</v>
      </c>
      <c r="G22" s="9" t="s">
        <v>202</v>
      </c>
      <c r="H22" s="9" t="s">
        <v>125</v>
      </c>
      <c r="I22" s="9" t="s">
        <v>101</v>
      </c>
      <c r="J22" s="9" t="s">
        <v>489</v>
      </c>
      <c r="K22" s="9" t="s">
        <v>490</v>
      </c>
      <c r="L22" s="9" t="s">
        <v>491</v>
      </c>
      <c r="M22" s="9" t="s">
        <v>364</v>
      </c>
      <c r="N22" s="9" t="s">
        <v>195</v>
      </c>
      <c r="O22" s="9" t="s">
        <v>492</v>
      </c>
      <c r="P22" s="9" t="s">
        <v>127</v>
      </c>
      <c r="Q22" s="9" t="s">
        <v>104</v>
      </c>
      <c r="R22" s="9">
        <v>200.0</v>
      </c>
      <c r="S22" s="9" t="s">
        <v>105</v>
      </c>
      <c r="T22" s="9" t="s">
        <v>511</v>
      </c>
      <c r="U22" s="9" t="s">
        <v>107</v>
      </c>
      <c r="V22" s="9" t="s">
        <v>512</v>
      </c>
      <c r="W22" s="9"/>
      <c r="X22" s="9"/>
      <c r="Y22" s="9"/>
      <c r="Z22" s="9"/>
      <c r="AA22" s="9"/>
      <c r="AB22" s="9"/>
      <c r="AC22" s="9"/>
      <c r="AD22" s="9"/>
      <c r="AE22" s="9" t="s">
        <v>110</v>
      </c>
      <c r="AF22" s="9" t="s">
        <v>111</v>
      </c>
      <c r="AG22" s="9" t="s">
        <v>113</v>
      </c>
      <c r="AH22" s="9" t="s">
        <v>115</v>
      </c>
      <c r="AI22" s="9" t="s">
        <v>514</v>
      </c>
      <c r="AJ22" s="9" t="s">
        <v>515</v>
      </c>
      <c r="AK22" s="9" t="s">
        <v>516</v>
      </c>
      <c r="AL22" s="9" t="s">
        <v>517</v>
      </c>
    </row>
    <row r="23" ht="15.0" customHeight="1">
      <c r="A23" s="9">
        <v>23.0</v>
      </c>
      <c r="B23" s="9" t="s">
        <v>120</v>
      </c>
      <c r="C23" s="10" t="s">
        <v>518</v>
      </c>
      <c r="D23" s="9"/>
      <c r="E23" s="9"/>
      <c r="F23" s="12">
        <v>46059.0</v>
      </c>
      <c r="G23" s="9" t="s">
        <v>95</v>
      </c>
      <c r="H23" s="9" t="s">
        <v>125</v>
      </c>
      <c r="I23" s="9" t="s">
        <v>101</v>
      </c>
      <c r="J23" s="9" t="s">
        <v>489</v>
      </c>
      <c r="K23" s="9" t="s">
        <v>490</v>
      </c>
      <c r="L23" s="9" t="s">
        <v>491</v>
      </c>
      <c r="M23" s="9" t="s">
        <v>364</v>
      </c>
      <c r="N23" s="9" t="s">
        <v>195</v>
      </c>
      <c r="O23" s="9" t="s">
        <v>492</v>
      </c>
      <c r="P23" s="9" t="s">
        <v>127</v>
      </c>
      <c r="Q23" s="9" t="s">
        <v>104</v>
      </c>
      <c r="R23" s="9">
        <v>100.0</v>
      </c>
      <c r="S23" s="9" t="s">
        <v>105</v>
      </c>
      <c r="T23" s="9" t="s">
        <v>511</v>
      </c>
      <c r="U23" s="9" t="s">
        <v>107</v>
      </c>
      <c r="V23" s="9" t="s">
        <v>519</v>
      </c>
      <c r="W23" s="9"/>
      <c r="X23" s="9"/>
      <c r="Y23" s="9"/>
      <c r="Z23" s="9"/>
      <c r="AA23" s="9"/>
      <c r="AB23" s="9"/>
      <c r="AC23" s="9"/>
      <c r="AD23" s="9"/>
      <c r="AE23" s="9" t="s">
        <v>110</v>
      </c>
      <c r="AF23" s="9" t="s">
        <v>111</v>
      </c>
      <c r="AG23" s="9" t="s">
        <v>113</v>
      </c>
      <c r="AH23" s="9" t="s">
        <v>115</v>
      </c>
      <c r="AI23" s="9" t="s">
        <v>520</v>
      </c>
      <c r="AJ23" s="9" t="s">
        <v>515</v>
      </c>
      <c r="AK23" s="9" t="s">
        <v>521</v>
      </c>
      <c r="AL23" s="9" t="s">
        <v>522</v>
      </c>
    </row>
    <row r="24" ht="15.0" customHeight="1">
      <c r="A24" s="5">
        <v>24.0</v>
      </c>
      <c r="B24" s="5" t="s">
        <v>138</v>
      </c>
      <c r="C24" s="25" t="s">
        <v>523</v>
      </c>
      <c r="D24" s="5"/>
      <c r="E24" s="5"/>
      <c r="F24" s="5" t="s">
        <v>424</v>
      </c>
      <c r="G24" s="5" t="s">
        <v>217</v>
      </c>
      <c r="H24" s="5" t="s">
        <v>171</v>
      </c>
      <c r="I24" s="5" t="s">
        <v>101</v>
      </c>
      <c r="J24" s="5" t="s">
        <v>524</v>
      </c>
      <c r="K24" s="5" t="s">
        <v>525</v>
      </c>
      <c r="L24" s="5" t="s">
        <v>526</v>
      </c>
      <c r="M24" s="5" t="s">
        <v>265</v>
      </c>
      <c r="N24" s="5" t="s">
        <v>527</v>
      </c>
      <c r="O24" s="5" t="s">
        <v>528</v>
      </c>
      <c r="P24" s="5" t="s">
        <v>189</v>
      </c>
      <c r="Q24" s="5" t="s">
        <v>529</v>
      </c>
      <c r="R24" s="5"/>
      <c r="S24" s="5"/>
      <c r="T24" s="5" t="s">
        <v>530</v>
      </c>
      <c r="U24" s="5" t="s">
        <v>204</v>
      </c>
      <c r="V24" s="5" t="s">
        <v>531</v>
      </c>
      <c r="W24" s="5" t="s">
        <v>194</v>
      </c>
      <c r="X24" s="5" t="s">
        <v>532</v>
      </c>
      <c r="Y24" s="5"/>
      <c r="Z24" s="5"/>
      <c r="AA24" s="5"/>
      <c r="AB24" s="5"/>
      <c r="AC24" s="5"/>
      <c r="AD24" s="5"/>
      <c r="AE24" s="5" t="s">
        <v>110</v>
      </c>
      <c r="AF24" s="5" t="s">
        <v>533</v>
      </c>
      <c r="AG24" s="5" t="s">
        <v>534</v>
      </c>
      <c r="AH24" s="5" t="s">
        <v>152</v>
      </c>
      <c r="AI24" s="5" t="s">
        <v>535</v>
      </c>
      <c r="AJ24" s="5" t="s">
        <v>536</v>
      </c>
      <c r="AK24" s="5" t="s">
        <v>537</v>
      </c>
      <c r="AL24" s="5" t="s">
        <v>538</v>
      </c>
    </row>
    <row r="25" ht="15.0" customHeight="1">
      <c r="A25" s="5">
        <v>25.0</v>
      </c>
      <c r="B25" s="5" t="s">
        <v>138</v>
      </c>
      <c r="C25" s="25" t="s">
        <v>539</v>
      </c>
      <c r="D25" s="5"/>
      <c r="E25" s="5"/>
      <c r="F25" s="5" t="s">
        <v>424</v>
      </c>
      <c r="G25" s="5" t="s">
        <v>217</v>
      </c>
      <c r="H25" s="5" t="s">
        <v>171</v>
      </c>
      <c r="I25" s="5" t="s">
        <v>101</v>
      </c>
      <c r="J25" s="5" t="s">
        <v>524</v>
      </c>
      <c r="K25" s="5" t="s">
        <v>525</v>
      </c>
      <c r="L25" s="5" t="s">
        <v>526</v>
      </c>
      <c r="M25" s="5" t="s">
        <v>265</v>
      </c>
      <c r="N25" s="5" t="s">
        <v>527</v>
      </c>
      <c r="O25" s="5" t="s">
        <v>540</v>
      </c>
      <c r="P25" s="5" t="s">
        <v>189</v>
      </c>
      <c r="Q25" s="5" t="s">
        <v>529</v>
      </c>
      <c r="R25" s="5"/>
      <c r="S25" s="5"/>
      <c r="T25" s="5" t="s">
        <v>530</v>
      </c>
      <c r="U25" s="5" t="s">
        <v>204</v>
      </c>
      <c r="V25" s="5" t="s">
        <v>541</v>
      </c>
      <c r="W25" s="5" t="s">
        <v>194</v>
      </c>
      <c r="X25" s="5" t="s">
        <v>532</v>
      </c>
      <c r="Y25" s="5"/>
      <c r="Z25" s="5"/>
      <c r="AA25" s="5"/>
      <c r="AB25" s="5"/>
      <c r="AC25" s="5"/>
      <c r="AD25" s="5"/>
      <c r="AE25" s="5" t="s">
        <v>110</v>
      </c>
      <c r="AF25" s="5" t="s">
        <v>533</v>
      </c>
      <c r="AG25" s="5" t="s">
        <v>534</v>
      </c>
      <c r="AH25" s="5" t="s">
        <v>152</v>
      </c>
      <c r="AI25" s="5" t="s">
        <v>535</v>
      </c>
      <c r="AJ25" s="5" t="s">
        <v>536</v>
      </c>
      <c r="AK25" s="5" t="s">
        <v>537</v>
      </c>
      <c r="AL25" s="5" t="s">
        <v>542</v>
      </c>
    </row>
    <row r="26" ht="15.0" customHeight="1">
      <c r="A26" s="5">
        <v>26.0</v>
      </c>
      <c r="B26" s="35" t="s">
        <v>138</v>
      </c>
      <c r="C26" s="36" t="s">
        <v>544</v>
      </c>
      <c r="D26" s="35"/>
      <c r="E26" s="37"/>
      <c r="F26" s="5" t="s">
        <v>424</v>
      </c>
      <c r="G26" s="5" t="s">
        <v>217</v>
      </c>
      <c r="H26" s="35" t="s">
        <v>171</v>
      </c>
      <c r="I26" s="35" t="s">
        <v>158</v>
      </c>
      <c r="J26" s="5" t="s">
        <v>186</v>
      </c>
      <c r="K26" s="38" t="s">
        <v>545</v>
      </c>
      <c r="L26" s="5" t="s">
        <v>546</v>
      </c>
      <c r="M26" s="5" t="s">
        <v>547</v>
      </c>
      <c r="N26" s="35" t="s">
        <v>548</v>
      </c>
      <c r="O26" s="35" t="s">
        <v>549</v>
      </c>
      <c r="P26" s="35" t="s">
        <v>145</v>
      </c>
      <c r="Q26" s="39" t="s">
        <v>550</v>
      </c>
      <c r="R26" s="35">
        <v>2.0</v>
      </c>
      <c r="S26" s="35" t="s">
        <v>551</v>
      </c>
      <c r="T26" s="5" t="s">
        <v>552</v>
      </c>
      <c r="U26" s="5" t="s">
        <v>553</v>
      </c>
      <c r="V26" s="5" t="s">
        <v>554</v>
      </c>
      <c r="W26" s="5"/>
      <c r="X26" s="5"/>
      <c r="Y26" s="5"/>
      <c r="Z26" s="5"/>
      <c r="AA26" s="5"/>
      <c r="AB26" s="5"/>
      <c r="AC26" s="5"/>
      <c r="AD26" s="5"/>
      <c r="AE26" s="35" t="s">
        <v>163</v>
      </c>
      <c r="AF26" s="36" t="s">
        <v>555</v>
      </c>
      <c r="AG26" s="36" t="s">
        <v>556</v>
      </c>
      <c r="AH26" s="5" t="s">
        <v>152</v>
      </c>
      <c r="AI26" s="35" t="s">
        <v>558</v>
      </c>
      <c r="AJ26" s="5" t="s">
        <v>559</v>
      </c>
      <c r="AK26" s="35" t="s">
        <v>560</v>
      </c>
      <c r="AL26" s="35" t="s">
        <v>561</v>
      </c>
    </row>
    <row r="27" ht="15.0" customHeight="1">
      <c r="A27" s="5">
        <v>27.0</v>
      </c>
      <c r="B27" s="5" t="s">
        <v>138</v>
      </c>
      <c r="C27" s="25" t="s">
        <v>563</v>
      </c>
      <c r="D27" s="5"/>
      <c r="E27" s="5"/>
      <c r="F27" s="5" t="s">
        <v>424</v>
      </c>
      <c r="G27" s="5" t="s">
        <v>217</v>
      </c>
      <c r="H27" s="5" t="s">
        <v>171</v>
      </c>
      <c r="I27" s="5" t="s">
        <v>101</v>
      </c>
      <c r="J27" s="5" t="s">
        <v>564</v>
      </c>
      <c r="K27" s="5" t="s">
        <v>565</v>
      </c>
      <c r="L27" s="5" t="s">
        <v>566</v>
      </c>
      <c r="M27" s="5" t="s">
        <v>567</v>
      </c>
      <c r="N27" s="5" t="s">
        <v>527</v>
      </c>
      <c r="O27" s="5" t="s">
        <v>568</v>
      </c>
      <c r="P27" s="5" t="s">
        <v>127</v>
      </c>
      <c r="Q27" s="5" t="s">
        <v>104</v>
      </c>
      <c r="R27" s="5">
        <v>500.0</v>
      </c>
      <c r="S27" s="5" t="s">
        <v>105</v>
      </c>
      <c r="T27" s="5" t="s">
        <v>396</v>
      </c>
      <c r="U27" s="5" t="s">
        <v>569</v>
      </c>
      <c r="V27" s="5" t="s">
        <v>570</v>
      </c>
      <c r="W27" s="5" t="s">
        <v>571</v>
      </c>
      <c r="X27" s="5" t="s">
        <v>572</v>
      </c>
      <c r="Y27" s="5"/>
      <c r="Z27" s="5"/>
      <c r="AA27" s="5"/>
      <c r="AB27" s="5"/>
      <c r="AC27" s="5"/>
      <c r="AD27" s="5"/>
      <c r="AE27" s="5" t="s">
        <v>110</v>
      </c>
      <c r="AF27" s="5" t="s">
        <v>573</v>
      </c>
      <c r="AG27" s="5" t="s">
        <v>113</v>
      </c>
      <c r="AH27" s="5" t="s">
        <v>152</v>
      </c>
      <c r="AI27" s="5" t="s">
        <v>574</v>
      </c>
      <c r="AJ27" s="5" t="s">
        <v>575</v>
      </c>
      <c r="AK27" s="5" t="s">
        <v>576</v>
      </c>
      <c r="AL27" s="5" t="s">
        <v>577</v>
      </c>
    </row>
    <row r="28" ht="15.0" customHeight="1">
      <c r="A28" s="5">
        <v>28.0</v>
      </c>
      <c r="B28" s="5" t="s">
        <v>138</v>
      </c>
      <c r="C28" s="25" t="s">
        <v>578</v>
      </c>
      <c r="D28" s="5"/>
      <c r="E28" s="5"/>
      <c r="F28" s="5" t="s">
        <v>424</v>
      </c>
      <c r="G28" s="5" t="s">
        <v>157</v>
      </c>
      <c r="H28" s="5" t="s">
        <v>171</v>
      </c>
      <c r="I28" s="5" t="s">
        <v>101</v>
      </c>
      <c r="J28" s="5" t="s">
        <v>186</v>
      </c>
      <c r="K28" s="5" t="s">
        <v>579</v>
      </c>
      <c r="L28" s="5" t="s">
        <v>580</v>
      </c>
      <c r="M28" s="5" t="s">
        <v>192</v>
      </c>
      <c r="N28" s="5" t="s">
        <v>581</v>
      </c>
      <c r="O28" s="5" t="s">
        <v>582</v>
      </c>
      <c r="P28" s="5" t="s">
        <v>218</v>
      </c>
      <c r="Q28" s="5" t="s">
        <v>583</v>
      </c>
      <c r="R28" s="5"/>
      <c r="S28" s="5"/>
      <c r="T28" s="5"/>
      <c r="U28" s="5" t="s">
        <v>584</v>
      </c>
      <c r="V28" s="5" t="s">
        <v>585</v>
      </c>
      <c r="W28" s="5" t="s">
        <v>586</v>
      </c>
      <c r="X28" s="5" t="s">
        <v>587</v>
      </c>
      <c r="Y28" s="5" t="s">
        <v>588</v>
      </c>
      <c r="Z28" s="5" t="s">
        <v>589</v>
      </c>
      <c r="AA28" s="5"/>
      <c r="AB28" s="5"/>
      <c r="AC28" s="5"/>
      <c r="AD28" s="5"/>
      <c r="AE28" s="5" t="s">
        <v>590</v>
      </c>
      <c r="AF28" s="5" t="s">
        <v>591</v>
      </c>
      <c r="AG28" s="5" t="s">
        <v>592</v>
      </c>
      <c r="AH28" s="5" t="s">
        <v>166</v>
      </c>
      <c r="AI28" s="5" t="s">
        <v>593</v>
      </c>
      <c r="AJ28" s="5" t="s">
        <v>254</v>
      </c>
      <c r="AK28" s="5" t="s">
        <v>226</v>
      </c>
      <c r="AL28" s="5" t="s">
        <v>594</v>
      </c>
    </row>
    <row r="29" ht="15.0" customHeight="1">
      <c r="A29" s="3">
        <v>29.0</v>
      </c>
      <c r="B29" s="3" t="s">
        <v>154</v>
      </c>
      <c r="C29" s="40" t="s">
        <v>595</v>
      </c>
      <c r="D29" s="16"/>
      <c r="E29" s="18"/>
      <c r="F29" s="3" t="s">
        <v>596</v>
      </c>
      <c r="G29" s="3" t="s">
        <v>95</v>
      </c>
      <c r="H29" s="3" t="s">
        <v>217</v>
      </c>
      <c r="I29" s="16" t="s">
        <v>158</v>
      </c>
      <c r="J29" s="3" t="s">
        <v>489</v>
      </c>
      <c r="K29" s="3" t="s">
        <v>597</v>
      </c>
      <c r="L29" s="3" t="s">
        <v>598</v>
      </c>
      <c r="M29" s="16" t="s">
        <v>599</v>
      </c>
      <c r="N29" s="3" t="s">
        <v>601</v>
      </c>
      <c r="O29" s="3" t="s">
        <v>602</v>
      </c>
      <c r="P29" s="3" t="s">
        <v>603</v>
      </c>
      <c r="Q29" s="3" t="s">
        <v>604</v>
      </c>
      <c r="R29" s="3" t="s">
        <v>605</v>
      </c>
      <c r="S29" s="3" t="s">
        <v>606</v>
      </c>
      <c r="T29" s="3" t="s">
        <v>607</v>
      </c>
      <c r="U29" s="3" t="s">
        <v>608</v>
      </c>
      <c r="V29" s="3">
        <v>0.33</v>
      </c>
      <c r="W29" s="40" t="s">
        <v>609</v>
      </c>
      <c r="X29" s="40" t="s">
        <v>610</v>
      </c>
      <c r="Y29" s="3"/>
      <c r="Z29" s="3"/>
      <c r="AA29" s="3"/>
      <c r="AB29" s="42"/>
      <c r="AC29" s="42"/>
      <c r="AD29" s="3"/>
      <c r="AE29" s="16" t="s">
        <v>163</v>
      </c>
      <c r="AF29" s="15" t="s">
        <v>611</v>
      </c>
      <c r="AG29" s="16" t="s">
        <v>612</v>
      </c>
      <c r="AH29" s="16" t="s">
        <v>166</v>
      </c>
      <c r="AI29" s="16" t="s">
        <v>613</v>
      </c>
      <c r="AJ29" s="16" t="s">
        <v>614</v>
      </c>
      <c r="AK29" s="16" t="s">
        <v>615</v>
      </c>
      <c r="AL29" s="3" t="s">
        <v>616</v>
      </c>
    </row>
    <row r="30" ht="15.0" customHeight="1">
      <c r="A30" s="3">
        <v>30.0</v>
      </c>
      <c r="B30" s="3" t="s">
        <v>154</v>
      </c>
      <c r="C30" s="40" t="s">
        <v>617</v>
      </c>
      <c r="D30" s="16"/>
      <c r="E30" s="18"/>
      <c r="F30" s="3" t="s">
        <v>618</v>
      </c>
      <c r="G30" s="3" t="s">
        <v>95</v>
      </c>
      <c r="H30" s="3" t="s">
        <v>217</v>
      </c>
      <c r="I30" s="16" t="s">
        <v>158</v>
      </c>
      <c r="J30" s="3" t="s">
        <v>619</v>
      </c>
      <c r="K30" s="3" t="s">
        <v>620</v>
      </c>
      <c r="L30" s="3" t="s">
        <v>621</v>
      </c>
      <c r="M30" s="3" t="s">
        <v>622</v>
      </c>
      <c r="N30" s="3" t="s">
        <v>581</v>
      </c>
      <c r="O30" s="3" t="s">
        <v>623</v>
      </c>
      <c r="P30" s="3" t="s">
        <v>624</v>
      </c>
      <c r="Q30" s="15" t="s">
        <v>625</v>
      </c>
      <c r="R30" s="3"/>
      <c r="S30" s="3"/>
      <c r="T30" s="3"/>
      <c r="U30" s="16" t="s">
        <v>626</v>
      </c>
      <c r="V30" s="15" t="s">
        <v>627</v>
      </c>
      <c r="W30" s="3"/>
      <c r="X30" s="3"/>
      <c r="Y30" s="3"/>
      <c r="Z30" s="3"/>
      <c r="AA30" s="3"/>
      <c r="AB30" s="3"/>
      <c r="AC30" s="3"/>
      <c r="AD30" s="3"/>
      <c r="AE30" s="3" t="s">
        <v>628</v>
      </c>
      <c r="AF30" s="16" t="s">
        <v>630</v>
      </c>
      <c r="AG30" s="16" t="s">
        <v>631</v>
      </c>
      <c r="AH30" s="3" t="s">
        <v>166</v>
      </c>
      <c r="AI30" s="3" t="s">
        <v>632</v>
      </c>
      <c r="AJ30" s="3" t="s">
        <v>633</v>
      </c>
      <c r="AK30" s="3" t="s">
        <v>634</v>
      </c>
      <c r="AL30" s="3" t="s">
        <v>635</v>
      </c>
    </row>
    <row r="31" ht="15.0" customHeight="1">
      <c r="A31" s="3">
        <v>31.0</v>
      </c>
      <c r="B31" s="3" t="s">
        <v>154</v>
      </c>
      <c r="C31" s="15" t="s">
        <v>636</v>
      </c>
      <c r="D31" s="16"/>
      <c r="E31" s="18"/>
      <c r="F31" s="3" t="s">
        <v>637</v>
      </c>
      <c r="G31" s="3" t="s">
        <v>217</v>
      </c>
      <c r="H31" s="3" t="s">
        <v>217</v>
      </c>
      <c r="I31" s="16" t="s">
        <v>158</v>
      </c>
      <c r="J31" s="3" t="s">
        <v>638</v>
      </c>
      <c r="K31" s="3" t="s">
        <v>639</v>
      </c>
      <c r="L31" s="3" t="s">
        <v>640</v>
      </c>
      <c r="M31" s="3" t="s">
        <v>641</v>
      </c>
      <c r="N31" s="3" t="s">
        <v>642</v>
      </c>
      <c r="O31" s="3" t="s">
        <v>643</v>
      </c>
      <c r="P31" s="3" t="s">
        <v>145</v>
      </c>
      <c r="Q31" s="3" t="s">
        <v>207</v>
      </c>
      <c r="R31" s="3" t="s">
        <v>644</v>
      </c>
      <c r="S31" s="3" t="s">
        <v>105</v>
      </c>
      <c r="T31" s="3" t="s">
        <v>645</v>
      </c>
      <c r="U31" s="3" t="s">
        <v>646</v>
      </c>
      <c r="V31" s="40" t="s">
        <v>647</v>
      </c>
      <c r="W31" s="3"/>
      <c r="X31" s="3"/>
      <c r="Y31" s="3"/>
      <c r="Z31" s="3"/>
      <c r="AA31" s="42"/>
      <c r="AB31" s="42"/>
      <c r="AC31" s="42"/>
      <c r="AD31" s="42"/>
      <c r="AE31" s="16" t="s">
        <v>132</v>
      </c>
      <c r="AF31" s="16" t="s">
        <v>648</v>
      </c>
      <c r="AG31" s="16" t="s">
        <v>649</v>
      </c>
      <c r="AH31" s="3" t="s">
        <v>166</v>
      </c>
      <c r="AI31" s="3" t="s">
        <v>650</v>
      </c>
      <c r="AJ31" s="3" t="s">
        <v>651</v>
      </c>
      <c r="AK31" s="3" t="s">
        <v>153</v>
      </c>
      <c r="AL31" s="3"/>
    </row>
    <row r="32" ht="15.0" customHeight="1">
      <c r="A32" s="5">
        <v>32.0</v>
      </c>
      <c r="B32" s="5" t="s">
        <v>138</v>
      </c>
      <c r="C32" s="25" t="s">
        <v>652</v>
      </c>
      <c r="D32" s="5"/>
      <c r="E32" s="5"/>
      <c r="F32" s="5" t="s">
        <v>424</v>
      </c>
      <c r="G32" s="5" t="s">
        <v>217</v>
      </c>
      <c r="H32" s="5" t="s">
        <v>217</v>
      </c>
      <c r="I32" s="5" t="s">
        <v>101</v>
      </c>
      <c r="J32" s="5" t="s">
        <v>524</v>
      </c>
      <c r="K32" s="5" t="s">
        <v>525</v>
      </c>
      <c r="L32" s="5" t="s">
        <v>526</v>
      </c>
      <c r="M32" s="5" t="s">
        <v>265</v>
      </c>
      <c r="N32" s="5" t="s">
        <v>527</v>
      </c>
      <c r="O32" s="5" t="s">
        <v>654</v>
      </c>
      <c r="P32" s="5" t="s">
        <v>189</v>
      </c>
      <c r="Q32" s="5" t="s">
        <v>529</v>
      </c>
      <c r="R32" s="5"/>
      <c r="S32" s="5"/>
      <c r="T32" s="5" t="s">
        <v>530</v>
      </c>
      <c r="U32" s="5" t="s">
        <v>204</v>
      </c>
      <c r="V32" s="5" t="s">
        <v>655</v>
      </c>
      <c r="W32" s="5" t="s">
        <v>194</v>
      </c>
      <c r="X32" s="5" t="s">
        <v>532</v>
      </c>
      <c r="Y32" s="5"/>
      <c r="Z32" s="5"/>
      <c r="AA32" s="5"/>
      <c r="AB32" s="5"/>
      <c r="AC32" s="5"/>
      <c r="AD32" s="5"/>
      <c r="AE32" s="5" t="s">
        <v>110</v>
      </c>
      <c r="AF32" s="5" t="s">
        <v>533</v>
      </c>
      <c r="AG32" s="5" t="s">
        <v>534</v>
      </c>
      <c r="AH32" s="5" t="s">
        <v>152</v>
      </c>
      <c r="AI32" s="5" t="s">
        <v>535</v>
      </c>
      <c r="AJ32" s="5" t="s">
        <v>536</v>
      </c>
      <c r="AK32" s="5" t="s">
        <v>537</v>
      </c>
      <c r="AL32" s="5" t="s">
        <v>538</v>
      </c>
    </row>
    <row r="33" ht="15.0" customHeight="1">
      <c r="A33" s="5">
        <v>33.0</v>
      </c>
      <c r="B33" s="5" t="s">
        <v>138</v>
      </c>
      <c r="C33" s="25" t="s">
        <v>656</v>
      </c>
      <c r="D33" s="5"/>
      <c r="E33" s="5"/>
      <c r="F33" s="5" t="s">
        <v>319</v>
      </c>
      <c r="G33" s="5" t="s">
        <v>217</v>
      </c>
      <c r="H33" s="5" t="s">
        <v>202</v>
      </c>
      <c r="I33" s="5" t="s">
        <v>101</v>
      </c>
      <c r="J33" s="5" t="s">
        <v>336</v>
      </c>
      <c r="K33" s="5" t="s">
        <v>337</v>
      </c>
      <c r="L33" s="5" t="s">
        <v>338</v>
      </c>
      <c r="M33" s="5" t="s">
        <v>339</v>
      </c>
      <c r="N33" s="5" t="s">
        <v>657</v>
      </c>
      <c r="O33" s="5" t="s">
        <v>341</v>
      </c>
      <c r="P33" s="5" t="s">
        <v>205</v>
      </c>
      <c r="Q33" s="5" t="s">
        <v>104</v>
      </c>
      <c r="R33" s="5">
        <v>500.0</v>
      </c>
      <c r="S33" s="5" t="s">
        <v>249</v>
      </c>
      <c r="T33" s="5" t="s">
        <v>658</v>
      </c>
      <c r="U33" s="5" t="s">
        <v>342</v>
      </c>
      <c r="V33" s="5" t="s">
        <v>659</v>
      </c>
      <c r="W33" s="5" t="s">
        <v>344</v>
      </c>
      <c r="X33" s="5" t="s">
        <v>660</v>
      </c>
      <c r="Y33" s="5"/>
      <c r="Z33" s="5"/>
      <c r="AA33" s="5"/>
      <c r="AB33" s="5"/>
      <c r="AC33" s="5"/>
      <c r="AD33" s="5"/>
      <c r="AE33" s="5" t="s">
        <v>346</v>
      </c>
      <c r="AF33" s="5" t="s">
        <v>242</v>
      </c>
      <c r="AG33" s="5" t="s">
        <v>347</v>
      </c>
      <c r="AH33" s="5" t="s">
        <v>166</v>
      </c>
      <c r="AI33" s="5" t="s">
        <v>348</v>
      </c>
      <c r="AJ33" s="5" t="s">
        <v>167</v>
      </c>
      <c r="AK33" s="5" t="s">
        <v>153</v>
      </c>
      <c r="AL33" s="5" t="s">
        <v>349</v>
      </c>
    </row>
    <row r="34" ht="15.0" customHeight="1">
      <c r="A34" s="3">
        <v>34.0</v>
      </c>
      <c r="B34" s="3" t="s">
        <v>154</v>
      </c>
      <c r="C34" s="40" t="s">
        <v>661</v>
      </c>
      <c r="D34" s="16"/>
      <c r="E34" s="18"/>
      <c r="F34" s="19">
        <v>46059.0</v>
      </c>
      <c r="G34" s="3" t="s">
        <v>95</v>
      </c>
      <c r="H34" s="3" t="s">
        <v>202</v>
      </c>
      <c r="I34" s="16" t="s">
        <v>158</v>
      </c>
      <c r="J34" s="3">
        <v>2015.0</v>
      </c>
      <c r="K34" s="3" t="s">
        <v>662</v>
      </c>
      <c r="L34" s="3" t="s">
        <v>304</v>
      </c>
      <c r="M34" s="3" t="s">
        <v>663</v>
      </c>
      <c r="N34" s="3" t="s">
        <v>306</v>
      </c>
      <c r="O34" s="3" t="s">
        <v>307</v>
      </c>
      <c r="P34" s="3" t="s">
        <v>664</v>
      </c>
      <c r="Q34" s="3" t="s">
        <v>665</v>
      </c>
      <c r="R34" s="3"/>
      <c r="S34" s="3"/>
      <c r="T34" s="3"/>
      <c r="U34" s="3" t="s">
        <v>309</v>
      </c>
      <c r="V34" s="3" t="s">
        <v>666</v>
      </c>
      <c r="W34" s="3"/>
      <c r="X34" s="3"/>
      <c r="Y34" s="42"/>
      <c r="Z34" s="42"/>
      <c r="AA34" s="42"/>
      <c r="AB34" s="42"/>
      <c r="AC34" s="42"/>
      <c r="AD34" s="42"/>
      <c r="AE34" s="16" t="s">
        <v>667</v>
      </c>
      <c r="AF34" s="16" t="s">
        <v>668</v>
      </c>
      <c r="AG34" s="16" t="s">
        <v>669</v>
      </c>
      <c r="AH34" s="3" t="s">
        <v>166</v>
      </c>
      <c r="AI34" s="3" t="s">
        <v>670</v>
      </c>
      <c r="AJ34" s="3" t="s">
        <v>671</v>
      </c>
      <c r="AK34" s="3" t="s">
        <v>672</v>
      </c>
      <c r="AL34" s="3" t="s">
        <v>673</v>
      </c>
    </row>
    <row r="35" ht="15.0" customHeight="1">
      <c r="A35" s="47">
        <v>35.0</v>
      </c>
      <c r="B35" s="48" t="s">
        <v>138</v>
      </c>
      <c r="C35" s="49" t="s">
        <v>675</v>
      </c>
      <c r="D35" s="48"/>
      <c r="E35" s="50"/>
      <c r="F35" s="51">
        <v>46059.0</v>
      </c>
      <c r="G35" s="47" t="s">
        <v>95</v>
      </c>
      <c r="H35" s="47" t="s">
        <v>202</v>
      </c>
      <c r="I35" s="48" t="s">
        <v>158</v>
      </c>
      <c r="J35" s="47" t="s">
        <v>619</v>
      </c>
      <c r="K35" s="47" t="s">
        <v>676</v>
      </c>
      <c r="L35" s="47" t="s">
        <v>677</v>
      </c>
      <c r="M35" s="47" t="s">
        <v>678</v>
      </c>
      <c r="N35" s="47" t="s">
        <v>679</v>
      </c>
      <c r="O35" s="47" t="s">
        <v>680</v>
      </c>
      <c r="P35" s="47" t="s">
        <v>682</v>
      </c>
      <c r="Q35" s="47" t="s">
        <v>104</v>
      </c>
      <c r="R35" s="47">
        <v>100.0</v>
      </c>
      <c r="S35" s="47" t="s">
        <v>683</v>
      </c>
      <c r="T35" s="47" t="s">
        <v>684</v>
      </c>
      <c r="U35" s="47" t="s">
        <v>685</v>
      </c>
      <c r="V35" s="53" t="s">
        <v>686</v>
      </c>
      <c r="W35" s="47"/>
      <c r="X35" s="47"/>
      <c r="Y35" s="47"/>
      <c r="Z35" s="47"/>
      <c r="AA35" s="47"/>
      <c r="AB35" s="47"/>
      <c r="AC35" s="47"/>
      <c r="AD35" s="47"/>
      <c r="AE35" s="48" t="s">
        <v>163</v>
      </c>
      <c r="AF35" s="47" t="s">
        <v>687</v>
      </c>
      <c r="AG35" s="48" t="s">
        <v>688</v>
      </c>
      <c r="AH35" s="47" t="s">
        <v>152</v>
      </c>
      <c r="AI35" s="48" t="s">
        <v>689</v>
      </c>
      <c r="AJ35" s="48" t="s">
        <v>690</v>
      </c>
      <c r="AK35" s="47" t="s">
        <v>691</v>
      </c>
      <c r="AL35" s="47" t="s">
        <v>692</v>
      </c>
    </row>
    <row r="36" ht="15.0" customHeight="1">
      <c r="A36" s="3">
        <v>36.0</v>
      </c>
      <c r="B36" s="3" t="s">
        <v>154</v>
      </c>
      <c r="C36" s="40" t="s">
        <v>693</v>
      </c>
      <c r="D36" s="16"/>
      <c r="E36" s="18"/>
      <c r="F36" s="19">
        <v>46059.0</v>
      </c>
      <c r="G36" s="3" t="s">
        <v>95</v>
      </c>
      <c r="H36" s="3" t="s">
        <v>202</v>
      </c>
      <c r="I36" s="16" t="s">
        <v>158</v>
      </c>
      <c r="J36" s="3" t="s">
        <v>489</v>
      </c>
      <c r="K36" s="54" t="s">
        <v>694</v>
      </c>
      <c r="L36" s="54" t="s">
        <v>695</v>
      </c>
      <c r="M36" s="54" t="s">
        <v>339</v>
      </c>
      <c r="N36" s="54" t="s">
        <v>696</v>
      </c>
      <c r="O36" s="54" t="s">
        <v>113</v>
      </c>
      <c r="P36" s="54" t="s">
        <v>205</v>
      </c>
      <c r="Q36" s="54" t="s">
        <v>104</v>
      </c>
      <c r="R36" s="54">
        <v>200.0</v>
      </c>
      <c r="S36" s="54" t="s">
        <v>683</v>
      </c>
      <c r="T36" s="54" t="s">
        <v>697</v>
      </c>
      <c r="U36" s="54" t="s">
        <v>698</v>
      </c>
      <c r="V36" s="54" t="s">
        <v>699</v>
      </c>
      <c r="W36" s="54"/>
      <c r="X36" s="54"/>
      <c r="Y36" s="54"/>
      <c r="Z36" s="54"/>
      <c r="AA36" s="54"/>
      <c r="AB36" s="54"/>
      <c r="AC36" s="54"/>
      <c r="AD36" s="42"/>
      <c r="AE36" s="3" t="s">
        <v>700</v>
      </c>
      <c r="AF36" s="16" t="s">
        <v>701</v>
      </c>
      <c r="AG36" s="16" t="s">
        <v>702</v>
      </c>
      <c r="AH36" s="3" t="s">
        <v>166</v>
      </c>
      <c r="AI36" s="16" t="s">
        <v>703</v>
      </c>
      <c r="AJ36" s="16" t="s">
        <v>704</v>
      </c>
      <c r="AK36" s="3" t="s">
        <v>705</v>
      </c>
      <c r="AL36" s="3" t="s">
        <v>706</v>
      </c>
    </row>
    <row r="37" ht="15.0" customHeight="1">
      <c r="A37" s="9">
        <v>37.0</v>
      </c>
      <c r="B37" s="9" t="s">
        <v>120</v>
      </c>
      <c r="C37" s="10" t="s">
        <v>707</v>
      </c>
      <c r="D37" s="9"/>
      <c r="E37" s="9"/>
      <c r="F37" s="9" t="s">
        <v>618</v>
      </c>
      <c r="G37" s="9" t="s">
        <v>185</v>
      </c>
      <c r="H37" s="9" t="s">
        <v>157</v>
      </c>
      <c r="I37" s="9" t="s">
        <v>101</v>
      </c>
      <c r="J37" s="9" t="s">
        <v>379</v>
      </c>
      <c r="K37" s="9" t="s">
        <v>380</v>
      </c>
      <c r="L37" s="9" t="s">
        <v>381</v>
      </c>
      <c r="M37" s="9" t="s">
        <v>382</v>
      </c>
      <c r="N37" s="9" t="s">
        <v>195</v>
      </c>
      <c r="O37" s="9" t="s">
        <v>383</v>
      </c>
      <c r="P37" s="9" t="s">
        <v>708</v>
      </c>
      <c r="Q37" s="9" t="s">
        <v>104</v>
      </c>
      <c r="R37" s="9">
        <v>200.0</v>
      </c>
      <c r="S37" s="9" t="s">
        <v>105</v>
      </c>
      <c r="T37" s="9" t="s">
        <v>709</v>
      </c>
      <c r="U37" s="9" t="s">
        <v>130</v>
      </c>
      <c r="V37" s="9" t="s">
        <v>710</v>
      </c>
      <c r="W37" s="9" t="s">
        <v>711</v>
      </c>
      <c r="X37" s="9" t="s">
        <v>712</v>
      </c>
      <c r="Y37" s="9"/>
      <c r="Z37" s="9"/>
      <c r="AA37" s="9"/>
      <c r="AB37" s="9"/>
      <c r="AC37" s="9"/>
      <c r="AD37" s="9"/>
      <c r="AE37" s="9" t="s">
        <v>713</v>
      </c>
      <c r="AF37" s="9" t="s">
        <v>714</v>
      </c>
      <c r="AG37" s="9" t="s">
        <v>715</v>
      </c>
      <c r="AH37" s="9" t="s">
        <v>135</v>
      </c>
      <c r="AI37" s="9" t="s">
        <v>716</v>
      </c>
      <c r="AJ37" s="9" t="s">
        <v>718</v>
      </c>
      <c r="AK37" s="9" t="s">
        <v>719</v>
      </c>
      <c r="AL37" s="9" t="s">
        <v>720</v>
      </c>
    </row>
    <row r="38" ht="15.0" customHeight="1">
      <c r="A38" s="5">
        <v>38.0</v>
      </c>
      <c r="B38" s="5" t="s">
        <v>138</v>
      </c>
      <c r="C38" s="25" t="s">
        <v>721</v>
      </c>
      <c r="D38" s="5"/>
      <c r="E38" s="5"/>
      <c r="F38" s="5" t="s">
        <v>637</v>
      </c>
      <c r="G38" s="5" t="s">
        <v>217</v>
      </c>
      <c r="H38" s="5" t="s">
        <v>157</v>
      </c>
      <c r="I38" s="5" t="s">
        <v>101</v>
      </c>
      <c r="J38" s="5" t="s">
        <v>361</v>
      </c>
      <c r="K38" s="38" t="s">
        <v>722</v>
      </c>
      <c r="L38" s="5" t="s">
        <v>723</v>
      </c>
      <c r="M38" s="5" t="s">
        <v>641</v>
      </c>
      <c r="N38" s="5" t="s">
        <v>724</v>
      </c>
      <c r="O38" s="5" t="s">
        <v>725</v>
      </c>
      <c r="P38" s="5" t="s">
        <v>145</v>
      </c>
      <c r="Q38" s="5" t="s">
        <v>104</v>
      </c>
      <c r="R38" s="5">
        <v>100.0</v>
      </c>
      <c r="S38" s="5" t="s">
        <v>105</v>
      </c>
      <c r="T38" s="5" t="s">
        <v>726</v>
      </c>
      <c r="U38" s="5" t="s">
        <v>727</v>
      </c>
      <c r="V38" s="5" t="s">
        <v>729</v>
      </c>
      <c r="W38" s="5" t="s">
        <v>730</v>
      </c>
      <c r="X38" s="5" t="s">
        <v>731</v>
      </c>
      <c r="Y38" s="5" t="s">
        <v>732</v>
      </c>
      <c r="Z38" s="5" t="s">
        <v>733</v>
      </c>
      <c r="AA38" s="5" t="s">
        <v>734</v>
      </c>
      <c r="AB38" s="5" t="s">
        <v>735</v>
      </c>
      <c r="AC38" s="5"/>
      <c r="AD38" s="5"/>
      <c r="AE38" s="5" t="s">
        <v>736</v>
      </c>
      <c r="AF38" s="5" t="s">
        <v>737</v>
      </c>
      <c r="AG38" s="5" t="s">
        <v>113</v>
      </c>
      <c r="AH38" s="5" t="s">
        <v>166</v>
      </c>
      <c r="AI38" s="5" t="s">
        <v>738</v>
      </c>
      <c r="AJ38" s="5" t="s">
        <v>651</v>
      </c>
      <c r="AK38" s="5" t="s">
        <v>153</v>
      </c>
      <c r="AL38" s="5" t="s">
        <v>739</v>
      </c>
    </row>
    <row r="39" ht="15.0" customHeight="1">
      <c r="A39" s="15">
        <v>39.0</v>
      </c>
      <c r="B39" s="15" t="s">
        <v>154</v>
      </c>
      <c r="C39" s="15" t="s">
        <v>740</v>
      </c>
      <c r="D39" s="15"/>
      <c r="E39" s="15"/>
      <c r="F39" s="15">
        <v>46168.0</v>
      </c>
      <c r="G39" s="15" t="s">
        <v>217</v>
      </c>
      <c r="H39" s="15" t="s">
        <v>157</v>
      </c>
      <c r="I39" s="15" t="s">
        <v>101</v>
      </c>
      <c r="J39" s="15">
        <v>2025.0</v>
      </c>
      <c r="K39" s="15" t="s">
        <v>741</v>
      </c>
      <c r="L39" s="55" t="s">
        <v>723</v>
      </c>
      <c r="M39" s="15" t="s">
        <v>641</v>
      </c>
      <c r="N39" s="15" t="s">
        <v>724</v>
      </c>
      <c r="O39" s="15" t="s">
        <v>725</v>
      </c>
      <c r="P39" s="15" t="s">
        <v>145</v>
      </c>
      <c r="Q39" s="15" t="s">
        <v>742</v>
      </c>
      <c r="R39" s="15">
        <v>100.0</v>
      </c>
      <c r="S39" s="15" t="s">
        <v>105</v>
      </c>
      <c r="T39" s="15" t="s">
        <v>726</v>
      </c>
      <c r="U39" s="15" t="s">
        <v>727</v>
      </c>
      <c r="V39" s="15" t="s">
        <v>729</v>
      </c>
      <c r="W39" s="15" t="s">
        <v>730</v>
      </c>
      <c r="X39" s="15" t="s">
        <v>743</v>
      </c>
      <c r="Y39" s="15" t="s">
        <v>732</v>
      </c>
      <c r="Z39" s="15" t="s">
        <v>744</v>
      </c>
      <c r="AA39" s="15" t="s">
        <v>734</v>
      </c>
      <c r="AB39" s="15" t="s">
        <v>745</v>
      </c>
      <c r="AC39" s="15"/>
      <c r="AD39" s="15"/>
      <c r="AE39" s="15" t="s">
        <v>736</v>
      </c>
      <c r="AF39" s="15" t="s">
        <v>737</v>
      </c>
      <c r="AG39" s="15" t="s">
        <v>113</v>
      </c>
      <c r="AH39" s="15" t="s">
        <v>166</v>
      </c>
      <c r="AI39" s="15" t="s">
        <v>738</v>
      </c>
      <c r="AJ39" s="15" t="s">
        <v>651</v>
      </c>
      <c r="AK39" s="15" t="s">
        <v>153</v>
      </c>
      <c r="AL39" s="15" t="s">
        <v>746</v>
      </c>
    </row>
    <row r="40" ht="15.0" customHeight="1">
      <c r="A40" s="15">
        <v>40.0</v>
      </c>
      <c r="B40" s="15" t="s">
        <v>154</v>
      </c>
      <c r="C40" s="15" t="s">
        <v>740</v>
      </c>
      <c r="D40" s="15"/>
      <c r="E40" s="15"/>
      <c r="F40" s="15">
        <v>46168.0</v>
      </c>
      <c r="G40" s="15" t="s">
        <v>217</v>
      </c>
      <c r="H40" s="15" t="s">
        <v>157</v>
      </c>
      <c r="I40" s="15" t="s">
        <v>101</v>
      </c>
      <c r="J40" s="15">
        <v>2025.0</v>
      </c>
      <c r="K40" s="15" t="s">
        <v>741</v>
      </c>
      <c r="L40" s="55" t="s">
        <v>723</v>
      </c>
      <c r="M40" s="15" t="s">
        <v>641</v>
      </c>
      <c r="N40" s="15" t="s">
        <v>724</v>
      </c>
      <c r="O40" s="15" t="s">
        <v>725</v>
      </c>
      <c r="P40" s="15" t="s">
        <v>145</v>
      </c>
      <c r="Q40" s="15" t="s">
        <v>748</v>
      </c>
      <c r="R40" s="15">
        <v>100.0</v>
      </c>
      <c r="S40" s="15" t="s">
        <v>105</v>
      </c>
      <c r="T40" s="15" t="s">
        <v>726</v>
      </c>
      <c r="U40" s="15" t="s">
        <v>727</v>
      </c>
      <c r="V40" s="15" t="s">
        <v>729</v>
      </c>
      <c r="W40" s="15" t="s">
        <v>730</v>
      </c>
      <c r="X40" s="15" t="s">
        <v>749</v>
      </c>
      <c r="Y40" s="15" t="s">
        <v>732</v>
      </c>
      <c r="Z40" s="15" t="s">
        <v>750</v>
      </c>
      <c r="AA40" s="15" t="s">
        <v>734</v>
      </c>
      <c r="AB40" s="15" t="s">
        <v>745</v>
      </c>
      <c r="AC40" s="15"/>
      <c r="AD40" s="15"/>
      <c r="AE40" s="15" t="s">
        <v>736</v>
      </c>
      <c r="AF40" s="15" t="s">
        <v>737</v>
      </c>
      <c r="AG40" s="15" t="s">
        <v>113</v>
      </c>
      <c r="AH40" s="15" t="s">
        <v>166</v>
      </c>
      <c r="AI40" s="15" t="s">
        <v>738</v>
      </c>
      <c r="AJ40" s="15" t="s">
        <v>651</v>
      </c>
      <c r="AK40" s="15" t="s">
        <v>153</v>
      </c>
      <c r="AL40" s="15" t="s">
        <v>751</v>
      </c>
    </row>
    <row r="41" ht="15.0" customHeight="1">
      <c r="A41" s="15">
        <v>41.0</v>
      </c>
      <c r="B41" s="15" t="s">
        <v>154</v>
      </c>
      <c r="C41" s="15" t="s">
        <v>752</v>
      </c>
      <c r="D41" s="15"/>
      <c r="E41" s="15"/>
      <c r="F41" s="15">
        <v>46168.0</v>
      </c>
      <c r="G41" s="15" t="s">
        <v>202</v>
      </c>
      <c r="H41" s="15" t="s">
        <v>157</v>
      </c>
      <c r="I41" s="15" t="s">
        <v>101</v>
      </c>
      <c r="J41" s="15">
        <v>2020.0</v>
      </c>
      <c r="K41" s="15" t="s">
        <v>753</v>
      </c>
      <c r="L41" s="15" t="s">
        <v>754</v>
      </c>
      <c r="M41" s="15"/>
      <c r="N41" s="15" t="s">
        <v>755</v>
      </c>
      <c r="O41" s="15" t="s">
        <v>757</v>
      </c>
      <c r="P41" s="15" t="s">
        <v>127</v>
      </c>
      <c r="Q41" s="15" t="s">
        <v>228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 t="s">
        <v>758</v>
      </c>
      <c r="AJ41" s="15" t="s">
        <v>136</v>
      </c>
      <c r="AK41" s="15" t="s">
        <v>262</v>
      </c>
      <c r="AL41" s="15" t="s">
        <v>759</v>
      </c>
    </row>
    <row r="42" ht="15.0" customHeight="1">
      <c r="A42" s="15">
        <v>42.0</v>
      </c>
      <c r="B42" s="15" t="s">
        <v>154</v>
      </c>
      <c r="C42" s="15" t="s">
        <v>760</v>
      </c>
      <c r="D42" s="15"/>
      <c r="E42" s="15"/>
      <c r="F42" s="15">
        <v>46209.0</v>
      </c>
      <c r="G42" s="15" t="s">
        <v>185</v>
      </c>
      <c r="H42" s="15"/>
      <c r="I42" s="15" t="s">
        <v>101</v>
      </c>
      <c r="J42" s="15">
        <v>2022.0</v>
      </c>
      <c r="K42" s="15" t="s">
        <v>761</v>
      </c>
      <c r="L42" s="55" t="s">
        <v>762</v>
      </c>
      <c r="M42" s="15" t="s">
        <v>192</v>
      </c>
      <c r="N42" s="15" t="s">
        <v>195</v>
      </c>
      <c r="O42" s="15" t="s">
        <v>763</v>
      </c>
      <c r="P42" s="15" t="s">
        <v>127</v>
      </c>
      <c r="Q42" s="15" t="s">
        <v>764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115</v>
      </c>
      <c r="AI42" s="15"/>
      <c r="AJ42" s="15"/>
      <c r="AK42" s="15"/>
      <c r="AL42" s="15" t="s">
        <v>765</v>
      </c>
    </row>
    <row r="43" ht="15.75" customHeight="1">
      <c r="A43" s="7"/>
      <c r="B43" s="7"/>
      <c r="C43" s="5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ht="15.75" customHeight="1">
      <c r="A44" s="7"/>
      <c r="B44" s="7"/>
      <c r="C44" s="5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ht="15.75" customHeight="1">
      <c r="A45" s="7"/>
      <c r="B45" s="7"/>
      <c r="C45" s="5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ht="15.75" customHeight="1">
      <c r="A46" s="7"/>
      <c r="B46" s="7"/>
      <c r="C46" s="5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ht="15.75" customHeight="1">
      <c r="A47" s="7"/>
      <c r="B47" s="7"/>
      <c r="C47" s="5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ht="15.75" customHeight="1">
      <c r="A48" s="7"/>
      <c r="B48" s="7"/>
      <c r="C48" s="5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ht="15.75" customHeight="1">
      <c r="A49" s="7"/>
      <c r="B49" s="7"/>
      <c r="C49" s="5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ht="15.75" customHeight="1">
      <c r="A50" s="7"/>
      <c r="B50" s="7"/>
      <c r="C50" s="5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ht="15.75" customHeight="1">
      <c r="A51" s="7"/>
      <c r="B51" s="7"/>
      <c r="C51" s="5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ht="15.75" customHeight="1">
      <c r="A52" s="7"/>
      <c r="B52" s="7"/>
      <c r="C52" s="5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ht="15.75" customHeight="1">
      <c r="A53" s="7"/>
      <c r="B53" s="7"/>
      <c r="C53" s="5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ht="15.75" customHeight="1">
      <c r="A54" s="7"/>
      <c r="B54" s="7"/>
      <c r="C54" s="5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ht="15.75" customHeight="1">
      <c r="A55" s="7"/>
      <c r="B55" s="7"/>
      <c r="C55" s="5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ht="15.75" customHeight="1">
      <c r="A56" s="7"/>
      <c r="B56" s="7"/>
      <c r="C56" s="5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ht="15.75" customHeight="1">
      <c r="A57" s="7"/>
      <c r="B57" s="7"/>
      <c r="C57" s="5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ht="15.75" customHeight="1">
      <c r="A58" s="7"/>
      <c r="B58" s="7"/>
      <c r="C58" s="5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ht="15.75" customHeight="1">
      <c r="A59" s="7"/>
      <c r="B59" s="7"/>
      <c r="C59" s="5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ht="15.75" customHeight="1">
      <c r="A60" s="7"/>
      <c r="B60" s="7"/>
      <c r="C60" s="5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ht="15.75" customHeight="1">
      <c r="A61" s="7"/>
      <c r="B61" s="7"/>
      <c r="C61" s="5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ht="15.75" customHeight="1">
      <c r="A62" s="7"/>
      <c r="B62" s="7"/>
      <c r="C62" s="5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ht="15.75" customHeight="1">
      <c r="A63" s="7"/>
      <c r="B63" s="7"/>
      <c r="C63" s="5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ht="15.75" customHeight="1">
      <c r="A64" s="7"/>
      <c r="B64" s="7"/>
      <c r="C64" s="5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ht="15.75" customHeight="1">
      <c r="A65" s="7"/>
      <c r="B65" s="7"/>
      <c r="C65" s="5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ht="15.75" customHeight="1">
      <c r="A66" s="7"/>
      <c r="B66" s="7"/>
      <c r="C66" s="5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ht="15.75" customHeight="1">
      <c r="A67" s="7"/>
      <c r="B67" s="7"/>
      <c r="C67" s="5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ht="15.75" customHeight="1">
      <c r="A68" s="7"/>
      <c r="B68" s="7"/>
      <c r="C68" s="5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ht="15.75" customHeight="1">
      <c r="A69" s="7"/>
      <c r="B69" s="7"/>
      <c r="C69" s="5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ht="15.75" customHeight="1">
      <c r="A70" s="7"/>
      <c r="B70" s="7"/>
      <c r="C70" s="5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ht="15.75" customHeight="1">
      <c r="A71" s="7"/>
      <c r="B71" s="7"/>
      <c r="C71" s="5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ht="15.75" customHeight="1">
      <c r="A72" s="7"/>
      <c r="B72" s="7"/>
      <c r="C72" s="5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ht="15.75" customHeight="1">
      <c r="A73" s="7"/>
      <c r="B73" s="7"/>
      <c r="C73" s="5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ht="15.75" customHeight="1">
      <c r="A74" s="7"/>
      <c r="B74" s="7"/>
      <c r="C74" s="5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ht="15.75" customHeight="1">
      <c r="A75" s="7"/>
      <c r="B75" s="7"/>
      <c r="C75" s="5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ht="15.75" customHeight="1">
      <c r="A76" s="7"/>
      <c r="B76" s="7"/>
      <c r="C76" s="5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ht="15.75" customHeight="1">
      <c r="A77" s="7"/>
      <c r="B77" s="7"/>
      <c r="C77" s="5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ht="15.75" customHeight="1">
      <c r="A78" s="7"/>
      <c r="B78" s="7"/>
      <c r="C78" s="5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ht="15.75" customHeight="1">
      <c r="A79" s="7"/>
      <c r="B79" s="7"/>
      <c r="C79" s="5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ht="15.75" customHeight="1">
      <c r="A80" s="7"/>
      <c r="B80" s="7"/>
      <c r="C80" s="5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ht="15.75" customHeight="1">
      <c r="A81" s="7"/>
      <c r="B81" s="7"/>
      <c r="C81" s="5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ht="15.75" customHeight="1">
      <c r="A82" s="7"/>
      <c r="B82" s="7"/>
      <c r="C82" s="5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ht="15.75" customHeight="1">
      <c r="A83" s="7"/>
      <c r="B83" s="7"/>
      <c r="C83" s="5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ht="15.75" customHeight="1">
      <c r="A84" s="7"/>
      <c r="B84" s="7"/>
      <c r="C84" s="5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ht="15.75" customHeight="1">
      <c r="A85" s="7"/>
      <c r="B85" s="7"/>
      <c r="C85" s="5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ht="15.75" customHeight="1">
      <c r="A86" s="7"/>
      <c r="B86" s="7"/>
      <c r="C86" s="5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ht="15.75" customHeight="1">
      <c r="A87" s="7"/>
      <c r="B87" s="7"/>
      <c r="C87" s="5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ht="15.75" customHeight="1">
      <c r="A88" s="7"/>
      <c r="B88" s="7"/>
      <c r="C88" s="5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ht="15.75" customHeight="1">
      <c r="A89" s="7"/>
      <c r="B89" s="7"/>
      <c r="C89" s="5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ht="15.75" customHeight="1">
      <c r="A90" s="7"/>
      <c r="B90" s="7"/>
      <c r="C90" s="5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ht="15.75" customHeight="1">
      <c r="A91" s="7"/>
      <c r="B91" s="7"/>
      <c r="C91" s="5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ht="15.75" customHeight="1">
      <c r="A92" s="7"/>
      <c r="B92" s="7"/>
      <c r="C92" s="5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ht="15.75" customHeight="1">
      <c r="A93" s="7"/>
      <c r="B93" s="7"/>
      <c r="C93" s="5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ht="15.75" customHeight="1">
      <c r="A94" s="7"/>
      <c r="B94" s="7"/>
      <c r="C94" s="5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ht="15.75" customHeight="1">
      <c r="A95" s="7"/>
      <c r="B95" s="7"/>
      <c r="C95" s="5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ht="15.75" customHeight="1">
      <c r="A96" s="7"/>
      <c r="B96" s="7"/>
      <c r="C96" s="5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ht="15.75" customHeight="1">
      <c r="A97" s="7"/>
      <c r="B97" s="7"/>
      <c r="C97" s="5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ht="15.75" customHeight="1">
      <c r="A98" s="7"/>
      <c r="B98" s="7"/>
      <c r="C98" s="5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ht="15.75" customHeight="1">
      <c r="A99" s="7"/>
      <c r="B99" s="7"/>
      <c r="C99" s="5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ht="15.75" customHeight="1">
      <c r="A100" s="7"/>
      <c r="B100" s="7"/>
      <c r="C100" s="5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ht="15.75" customHeight="1">
      <c r="A101" s="7"/>
      <c r="B101" s="7"/>
      <c r="C101" s="5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ht="15.75" customHeight="1">
      <c r="A102" s="7"/>
      <c r="B102" s="7"/>
      <c r="C102" s="5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ht="15.75" customHeight="1">
      <c r="A103" s="7"/>
      <c r="B103" s="7"/>
      <c r="C103" s="5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ht="15.75" customHeight="1">
      <c r="A104" s="7"/>
      <c r="B104" s="7"/>
      <c r="C104" s="5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ht="15.75" customHeight="1">
      <c r="A105" s="7"/>
      <c r="B105" s="7"/>
      <c r="C105" s="5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ht="15.75" customHeight="1">
      <c r="A106" s="7"/>
      <c r="B106" s="7"/>
      <c r="C106" s="5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ht="15.75" customHeight="1">
      <c r="A107" s="7"/>
      <c r="B107" s="7"/>
      <c r="C107" s="5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ht="15.75" customHeight="1">
      <c r="A108" s="7"/>
      <c r="B108" s="7"/>
      <c r="C108" s="5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ht="15.75" customHeight="1">
      <c r="A109" s="7"/>
      <c r="B109" s="7"/>
      <c r="C109" s="5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ht="15.75" customHeight="1">
      <c r="A110" s="7"/>
      <c r="B110" s="7"/>
      <c r="C110" s="5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ht="15.75" customHeight="1">
      <c r="A111" s="7"/>
      <c r="B111" s="7"/>
      <c r="C111" s="5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ht="15.75" customHeight="1">
      <c r="A112" s="7"/>
      <c r="B112" s="7"/>
      <c r="C112" s="5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ht="15.75" customHeight="1">
      <c r="A113" s="7"/>
      <c r="B113" s="7"/>
      <c r="C113" s="5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ht="15.75" customHeight="1">
      <c r="A114" s="7"/>
      <c r="B114" s="7"/>
      <c r="C114" s="5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ht="15.75" customHeight="1">
      <c r="A115" s="7"/>
      <c r="B115" s="7"/>
      <c r="C115" s="5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ht="15.75" customHeight="1">
      <c r="A116" s="7"/>
      <c r="B116" s="7"/>
      <c r="C116" s="5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ht="15.75" customHeight="1">
      <c r="A117" s="7"/>
      <c r="B117" s="7"/>
      <c r="C117" s="5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ht="15.75" customHeight="1">
      <c r="A118" s="7"/>
      <c r="B118" s="7"/>
      <c r="C118" s="5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ht="15.75" customHeight="1">
      <c r="A119" s="7"/>
      <c r="B119" s="7"/>
      <c r="C119" s="5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ht="15.75" customHeight="1">
      <c r="A120" s="7"/>
      <c r="B120" s="7"/>
      <c r="C120" s="5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ht="15.75" customHeight="1">
      <c r="A121" s="7"/>
      <c r="B121" s="7"/>
      <c r="C121" s="5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ht="15.75" customHeight="1">
      <c r="A122" s="7"/>
      <c r="B122" s="7"/>
      <c r="C122" s="5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ht="15.75" customHeight="1">
      <c r="A123" s="7"/>
      <c r="B123" s="7"/>
      <c r="C123" s="5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ht="15.75" customHeight="1">
      <c r="A124" s="7"/>
      <c r="B124" s="7"/>
      <c r="C124" s="5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ht="15.75" customHeight="1">
      <c r="A125" s="7"/>
      <c r="B125" s="7"/>
      <c r="C125" s="5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ht="15.75" customHeight="1">
      <c r="A126" s="7"/>
      <c r="B126" s="7"/>
      <c r="C126" s="5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ht="15.75" customHeight="1">
      <c r="A127" s="7"/>
      <c r="B127" s="7"/>
      <c r="C127" s="5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ht="15.75" customHeight="1">
      <c r="A128" s="7"/>
      <c r="B128" s="7"/>
      <c r="C128" s="5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ht="15.75" customHeight="1">
      <c r="A129" s="7"/>
      <c r="B129" s="7"/>
      <c r="C129" s="5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ht="15.75" customHeight="1">
      <c r="A130" s="7"/>
      <c r="B130" s="7"/>
      <c r="C130" s="5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ht="15.75" customHeight="1">
      <c r="A131" s="7"/>
      <c r="B131" s="7"/>
      <c r="C131" s="5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ht="15.75" customHeight="1">
      <c r="A132" s="7"/>
      <c r="B132" s="7"/>
      <c r="C132" s="5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ht="15.75" customHeight="1">
      <c r="A133" s="7"/>
      <c r="B133" s="7"/>
      <c r="C133" s="5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ht="15.75" customHeight="1">
      <c r="A134" s="7"/>
      <c r="B134" s="7"/>
      <c r="C134" s="5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ht="15.75" customHeight="1">
      <c r="A135" s="7"/>
      <c r="B135" s="7"/>
      <c r="C135" s="5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ht="15.75" customHeight="1">
      <c r="A136" s="7"/>
      <c r="B136" s="7"/>
      <c r="C136" s="5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ht="15.75" customHeight="1">
      <c r="A137" s="7"/>
      <c r="B137" s="7"/>
      <c r="C137" s="5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ht="15.75" customHeight="1">
      <c r="A138" s="7"/>
      <c r="B138" s="7"/>
      <c r="C138" s="5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ht="15.75" customHeight="1">
      <c r="A139" s="7"/>
      <c r="B139" s="7"/>
      <c r="C139" s="5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ht="15.75" customHeight="1">
      <c r="A140" s="7"/>
      <c r="B140" s="7"/>
      <c r="C140" s="5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ht="15.75" customHeight="1">
      <c r="A141" s="7"/>
      <c r="B141" s="7"/>
      <c r="C141" s="5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ht="15.75" customHeight="1">
      <c r="A142" s="7"/>
      <c r="B142" s="7"/>
      <c r="C142" s="5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ht="15.75" customHeight="1">
      <c r="A143" s="7"/>
      <c r="B143" s="7"/>
      <c r="C143" s="5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ht="15.75" customHeight="1">
      <c r="A144" s="7"/>
      <c r="B144" s="7"/>
      <c r="C144" s="5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ht="15.75" customHeight="1">
      <c r="A145" s="7"/>
      <c r="B145" s="7"/>
      <c r="C145" s="5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ht="15.75" customHeight="1">
      <c r="A146" s="7"/>
      <c r="B146" s="7"/>
      <c r="C146" s="5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ht="15.75" customHeight="1">
      <c r="A147" s="7"/>
      <c r="B147" s="7"/>
      <c r="C147" s="5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ht="15.75" customHeight="1">
      <c r="A148" s="7"/>
      <c r="B148" s="7"/>
      <c r="C148" s="5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ht="15.75" customHeight="1">
      <c r="A149" s="7"/>
      <c r="B149" s="7"/>
      <c r="C149" s="5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ht="15.75" customHeight="1">
      <c r="A150" s="7"/>
      <c r="B150" s="7"/>
      <c r="C150" s="5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ht="15.75" customHeight="1">
      <c r="A151" s="7"/>
      <c r="B151" s="7"/>
      <c r="C151" s="5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ht="15.75" customHeight="1">
      <c r="A152" s="7"/>
      <c r="B152" s="7"/>
      <c r="C152" s="5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ht="15.75" customHeight="1">
      <c r="A153" s="7"/>
      <c r="B153" s="7"/>
      <c r="C153" s="5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ht="15.75" customHeight="1">
      <c r="A154" s="7"/>
      <c r="B154" s="7"/>
      <c r="C154" s="5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ht="15.75" customHeight="1">
      <c r="A155" s="7"/>
      <c r="B155" s="7"/>
      <c r="C155" s="5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ht="15.75" customHeight="1">
      <c r="A156" s="7"/>
      <c r="B156" s="7"/>
      <c r="C156" s="5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ht="15.75" customHeight="1">
      <c r="A157" s="7"/>
      <c r="B157" s="7"/>
      <c r="C157" s="5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ht="15.75" customHeight="1">
      <c r="A158" s="7"/>
      <c r="B158" s="7"/>
      <c r="C158" s="5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ht="15.75" customHeight="1">
      <c r="A159" s="7"/>
      <c r="B159" s="7"/>
      <c r="C159" s="5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ht="15.75" customHeight="1">
      <c r="A160" s="7"/>
      <c r="B160" s="7"/>
      <c r="C160" s="5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ht="15.75" customHeight="1">
      <c r="A161" s="7"/>
      <c r="B161" s="7"/>
      <c r="C161" s="5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ht="15.75" customHeight="1">
      <c r="A162" s="7"/>
      <c r="B162" s="7"/>
      <c r="C162" s="5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ht="15.75" customHeight="1">
      <c r="A163" s="7"/>
      <c r="B163" s="7"/>
      <c r="C163" s="5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ht="15.75" customHeight="1">
      <c r="A164" s="7"/>
      <c r="B164" s="7"/>
      <c r="C164" s="5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ht="15.75" customHeight="1">
      <c r="A165" s="7"/>
      <c r="B165" s="7"/>
      <c r="C165" s="5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ht="15.75" customHeight="1">
      <c r="A166" s="7"/>
      <c r="B166" s="7"/>
      <c r="C166" s="5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ht="15.75" customHeight="1">
      <c r="A167" s="7"/>
      <c r="B167" s="7"/>
      <c r="C167" s="5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ht="15.75" customHeight="1">
      <c r="A168" s="7"/>
      <c r="B168" s="7"/>
      <c r="C168" s="5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ht="15.75" customHeight="1">
      <c r="A169" s="7"/>
      <c r="B169" s="7"/>
      <c r="C169" s="5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ht="15.75" customHeight="1">
      <c r="A170" s="7"/>
      <c r="B170" s="7"/>
      <c r="C170" s="5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ht="15.75" customHeight="1">
      <c r="A171" s="7"/>
      <c r="B171" s="7"/>
      <c r="C171" s="5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ht="15.75" customHeight="1">
      <c r="A172" s="7"/>
      <c r="B172" s="7"/>
      <c r="C172" s="5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ht="15.75" customHeight="1">
      <c r="A173" s="7"/>
      <c r="B173" s="7"/>
      <c r="C173" s="5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ht="15.75" customHeight="1">
      <c r="A174" s="7"/>
      <c r="B174" s="7"/>
      <c r="C174" s="5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ht="15.75" customHeight="1">
      <c r="A175" s="7"/>
      <c r="B175" s="7"/>
      <c r="C175" s="5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ht="15.75" customHeight="1">
      <c r="A176" s="7"/>
      <c r="B176" s="7"/>
      <c r="C176" s="5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ht="15.75" customHeight="1">
      <c r="A177" s="7"/>
      <c r="B177" s="7"/>
      <c r="C177" s="5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ht="15.75" customHeight="1">
      <c r="A178" s="7"/>
      <c r="B178" s="7"/>
      <c r="C178" s="5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ht="15.75" customHeight="1">
      <c r="A179" s="7"/>
      <c r="B179" s="7"/>
      <c r="C179" s="5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ht="15.75" customHeight="1">
      <c r="A180" s="7"/>
      <c r="B180" s="7"/>
      <c r="C180" s="5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ht="15.75" customHeight="1">
      <c r="A181" s="7"/>
      <c r="B181" s="7"/>
      <c r="C181" s="5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ht="15.75" customHeight="1">
      <c r="A182" s="7"/>
      <c r="B182" s="7"/>
      <c r="C182" s="5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ht="15.75" customHeight="1">
      <c r="A183" s="7"/>
      <c r="B183" s="7"/>
      <c r="C183" s="5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ht="15.75" customHeight="1">
      <c r="A184" s="7"/>
      <c r="B184" s="7"/>
      <c r="C184" s="5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ht="15.75" customHeight="1">
      <c r="A185" s="7"/>
      <c r="B185" s="7"/>
      <c r="C185" s="5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ht="15.75" customHeight="1">
      <c r="A186" s="7"/>
      <c r="B186" s="7"/>
      <c r="C186" s="5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ht="15.75" customHeight="1">
      <c r="A187" s="7"/>
      <c r="B187" s="7"/>
      <c r="C187" s="5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ht="15.75" customHeight="1">
      <c r="A188" s="7"/>
      <c r="B188" s="7"/>
      <c r="C188" s="5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ht="15.75" customHeight="1">
      <c r="A189" s="7"/>
      <c r="B189" s="7"/>
      <c r="C189" s="5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ht="15.75" customHeight="1">
      <c r="A190" s="7"/>
      <c r="B190" s="7"/>
      <c r="C190" s="5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ht="15.75" customHeight="1">
      <c r="A191" s="7"/>
      <c r="B191" s="7"/>
      <c r="C191" s="5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ht="15.75" customHeight="1">
      <c r="A192" s="7"/>
      <c r="B192" s="7"/>
      <c r="C192" s="5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ht="15.75" customHeight="1">
      <c r="A193" s="7"/>
      <c r="B193" s="7"/>
      <c r="C193" s="5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ht="15.75" customHeight="1">
      <c r="A194" s="7"/>
      <c r="B194" s="7"/>
      <c r="C194" s="5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ht="15.75" customHeight="1">
      <c r="A195" s="7"/>
      <c r="B195" s="7"/>
      <c r="C195" s="5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ht="15.75" customHeight="1">
      <c r="A196" s="7"/>
      <c r="B196" s="7"/>
      <c r="C196" s="5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ht="15.75" customHeight="1">
      <c r="A197" s="7"/>
      <c r="B197" s="7"/>
      <c r="C197" s="5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ht="15.75" customHeight="1">
      <c r="A198" s="7"/>
      <c r="B198" s="7"/>
      <c r="C198" s="5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ht="15.75" customHeight="1">
      <c r="A199" s="7"/>
      <c r="B199" s="7"/>
      <c r="C199" s="5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ht="15.75" customHeight="1">
      <c r="A200" s="7"/>
      <c r="B200" s="7"/>
      <c r="C200" s="5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ht="15.75" customHeight="1">
      <c r="A201" s="7"/>
      <c r="B201" s="7"/>
      <c r="C201" s="5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ht="15.75" customHeight="1">
      <c r="A202" s="7"/>
      <c r="B202" s="7"/>
      <c r="C202" s="5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ht="15.75" customHeight="1">
      <c r="A203" s="7"/>
      <c r="B203" s="7"/>
      <c r="C203" s="5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ht="15.75" customHeight="1">
      <c r="A204" s="7"/>
      <c r="B204" s="7"/>
      <c r="C204" s="5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ht="15.75" customHeight="1">
      <c r="A205" s="7"/>
      <c r="B205" s="7"/>
      <c r="C205" s="5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ht="15.75" customHeight="1">
      <c r="A206" s="7"/>
      <c r="B206" s="7"/>
      <c r="C206" s="5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ht="15.75" customHeight="1">
      <c r="A207" s="7"/>
      <c r="B207" s="7"/>
      <c r="C207" s="5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ht="15.75" customHeight="1">
      <c r="A208" s="7"/>
      <c r="B208" s="7"/>
      <c r="C208" s="5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ht="15.75" customHeight="1">
      <c r="A209" s="7"/>
      <c r="B209" s="7"/>
      <c r="C209" s="5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ht="15.75" customHeight="1">
      <c r="A210" s="7"/>
      <c r="B210" s="7"/>
      <c r="C210" s="5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ht="15.75" customHeight="1">
      <c r="A211" s="7"/>
      <c r="B211" s="7"/>
      <c r="C211" s="5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ht="15.75" customHeight="1">
      <c r="A212" s="7"/>
      <c r="B212" s="7"/>
      <c r="C212" s="5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ht="15.75" customHeight="1">
      <c r="A213" s="7"/>
      <c r="B213" s="7"/>
      <c r="C213" s="5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ht="15.75" customHeight="1">
      <c r="A214" s="7"/>
      <c r="B214" s="7"/>
      <c r="C214" s="5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ht="15.75" customHeight="1">
      <c r="A215" s="7"/>
      <c r="B215" s="7"/>
      <c r="C215" s="5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ht="15.75" customHeight="1">
      <c r="A216" s="7"/>
      <c r="B216" s="7"/>
      <c r="C216" s="5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ht="15.75" customHeight="1">
      <c r="A217" s="7"/>
      <c r="B217" s="7"/>
      <c r="C217" s="5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ht="15.75" customHeight="1">
      <c r="A218" s="7"/>
      <c r="B218" s="7"/>
      <c r="C218" s="5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ht="15.75" customHeight="1">
      <c r="A219" s="7"/>
      <c r="B219" s="7"/>
      <c r="C219" s="5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ht="15.75" customHeight="1">
      <c r="A220" s="7"/>
      <c r="B220" s="7"/>
      <c r="C220" s="5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ht="15.75" customHeight="1">
      <c r="A221" s="7"/>
      <c r="B221" s="7"/>
      <c r="C221" s="5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ht="15.75" customHeight="1">
      <c r="A222" s="7"/>
      <c r="B222" s="7"/>
      <c r="C222" s="5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ht="15.75" customHeight="1">
      <c r="A223" s="7"/>
      <c r="B223" s="7"/>
      <c r="C223" s="5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ht="15.75" customHeight="1">
      <c r="A224" s="7"/>
      <c r="B224" s="7"/>
      <c r="C224" s="5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ht="15.75" customHeight="1">
      <c r="A225" s="7"/>
      <c r="B225" s="7"/>
      <c r="C225" s="5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ht="15.75" customHeight="1">
      <c r="A226" s="7"/>
      <c r="B226" s="7"/>
      <c r="C226" s="5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ht="15.75" customHeight="1">
      <c r="A227" s="7"/>
      <c r="B227" s="7"/>
      <c r="C227" s="5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ht="15.75" customHeight="1">
      <c r="A228" s="7"/>
      <c r="B228" s="7"/>
      <c r="C228" s="5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ht="15.75" customHeight="1">
      <c r="A229" s="7"/>
      <c r="B229" s="7"/>
      <c r="C229" s="5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ht="15.75" customHeight="1">
      <c r="A230" s="7"/>
      <c r="B230" s="7"/>
      <c r="C230" s="5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ht="15.75" customHeight="1">
      <c r="A231" s="7"/>
      <c r="B231" s="7"/>
      <c r="C231" s="5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ht="15.75" customHeight="1">
      <c r="A232" s="7"/>
      <c r="B232" s="7"/>
      <c r="C232" s="5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ht="15.75" customHeight="1">
      <c r="A233" s="7"/>
      <c r="B233" s="7"/>
      <c r="C233" s="5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ht="15.75" customHeight="1">
      <c r="A234" s="7"/>
      <c r="B234" s="7"/>
      <c r="C234" s="5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ht="15.75" customHeight="1">
      <c r="A235" s="7"/>
      <c r="B235" s="7"/>
      <c r="C235" s="5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ht="15.75" customHeight="1">
      <c r="A236" s="7"/>
      <c r="B236" s="7"/>
      <c r="C236" s="5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ht="15.75" customHeight="1">
      <c r="A237" s="7"/>
      <c r="B237" s="7"/>
      <c r="C237" s="5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ht="15.75" customHeight="1">
      <c r="A238" s="7"/>
      <c r="B238" s="7"/>
      <c r="C238" s="5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ht="15.75" customHeight="1">
      <c r="A239" s="7"/>
      <c r="B239" s="7"/>
      <c r="C239" s="5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ht="15.75" customHeight="1">
      <c r="A240" s="7"/>
      <c r="B240" s="7"/>
      <c r="C240" s="5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ht="15.75" customHeight="1">
      <c r="A241" s="7"/>
      <c r="B241" s="7"/>
      <c r="C241" s="5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ht="15.75" customHeight="1">
      <c r="A242" s="7"/>
      <c r="B242" s="7"/>
      <c r="C242" s="5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ht="15.75" customHeight="1">
      <c r="A243" s="7"/>
      <c r="B243" s="7"/>
      <c r="C243" s="5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ht="15.75" customHeight="1">
      <c r="A244" s="7"/>
      <c r="B244" s="7"/>
      <c r="C244" s="5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ht="15.75" customHeight="1">
      <c r="A245" s="7"/>
      <c r="B245" s="7"/>
      <c r="C245" s="5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ht="15.75" customHeight="1">
      <c r="A246" s="7"/>
      <c r="B246" s="7"/>
      <c r="C246" s="5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ht="15.75" customHeight="1">
      <c r="A247" s="7"/>
      <c r="B247" s="7"/>
      <c r="C247" s="5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ht="15.75" customHeight="1">
      <c r="A248" s="7"/>
      <c r="B248" s="7"/>
      <c r="C248" s="5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ht="15.75" customHeight="1">
      <c r="A249" s="7"/>
      <c r="B249" s="7"/>
      <c r="C249" s="5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ht="15.75" customHeight="1">
      <c r="A250" s="7"/>
      <c r="B250" s="7"/>
      <c r="C250" s="5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ht="15.75" customHeight="1">
      <c r="A251" s="7"/>
      <c r="B251" s="7"/>
      <c r="C251" s="5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ht="15.75" customHeight="1">
      <c r="A252" s="7"/>
      <c r="B252" s="7"/>
      <c r="C252" s="5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ht="15.75" customHeight="1">
      <c r="A253" s="7"/>
      <c r="B253" s="7"/>
      <c r="C253" s="5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ht="15.75" customHeight="1">
      <c r="A254" s="7"/>
      <c r="B254" s="7"/>
      <c r="C254" s="5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ht="15.75" customHeight="1">
      <c r="A255" s="7"/>
      <c r="B255" s="7"/>
      <c r="C255" s="5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ht="15.75" customHeight="1">
      <c r="A256" s="7"/>
      <c r="B256" s="7"/>
      <c r="C256" s="5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ht="15.75" customHeight="1">
      <c r="A257" s="7"/>
      <c r="B257" s="7"/>
      <c r="C257" s="5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ht="15.75" customHeight="1">
      <c r="A258" s="7"/>
      <c r="B258" s="7"/>
      <c r="C258" s="5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ht="15.75" customHeight="1">
      <c r="A259" s="7"/>
      <c r="B259" s="7"/>
      <c r="C259" s="5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ht="15.75" customHeight="1">
      <c r="A260" s="7"/>
      <c r="B260" s="7"/>
      <c r="C260" s="5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ht="15.75" customHeight="1">
      <c r="A261" s="7"/>
      <c r="B261" s="7"/>
      <c r="C261" s="5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ht="15.75" customHeight="1">
      <c r="A262" s="7"/>
      <c r="B262" s="7"/>
      <c r="C262" s="5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ht="15.75" customHeight="1">
      <c r="A263" s="7"/>
      <c r="B263" s="7"/>
      <c r="C263" s="5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ht="15.75" customHeight="1">
      <c r="A264" s="7"/>
      <c r="B264" s="7"/>
      <c r="C264" s="5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ht="15.75" customHeight="1">
      <c r="A265" s="7"/>
      <c r="B265" s="7"/>
      <c r="C265" s="5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ht="15.75" customHeight="1">
      <c r="A266" s="7"/>
      <c r="B266" s="7"/>
      <c r="C266" s="5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ht="15.75" customHeight="1">
      <c r="A267" s="7"/>
      <c r="B267" s="7"/>
      <c r="C267" s="5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ht="15.75" customHeight="1">
      <c r="A268" s="7"/>
      <c r="B268" s="7"/>
      <c r="C268" s="5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ht="15.75" customHeight="1">
      <c r="A269" s="7"/>
      <c r="B269" s="7"/>
      <c r="C269" s="5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ht="15.75" customHeight="1">
      <c r="A270" s="7"/>
      <c r="B270" s="7"/>
      <c r="C270" s="5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ht="15.75" customHeight="1">
      <c r="A271" s="7"/>
      <c r="B271" s="7"/>
      <c r="C271" s="5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ht="15.75" customHeight="1">
      <c r="A272" s="7"/>
      <c r="B272" s="7"/>
      <c r="C272" s="5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ht="15.75" customHeight="1">
      <c r="A273" s="7"/>
      <c r="B273" s="7"/>
      <c r="C273" s="5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ht="15.75" customHeight="1">
      <c r="A274" s="7"/>
      <c r="B274" s="7"/>
      <c r="C274" s="5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ht="15.75" customHeight="1">
      <c r="A275" s="7"/>
      <c r="B275" s="7"/>
      <c r="C275" s="5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ht="15.75" customHeight="1">
      <c r="A276" s="7"/>
      <c r="B276" s="7"/>
      <c r="C276" s="5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ht="15.75" customHeight="1">
      <c r="A277" s="7"/>
      <c r="B277" s="7"/>
      <c r="C277" s="5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ht="15.75" customHeight="1">
      <c r="A278" s="7"/>
      <c r="B278" s="7"/>
      <c r="C278" s="5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ht="15.75" customHeight="1">
      <c r="A279" s="7"/>
      <c r="B279" s="7"/>
      <c r="C279" s="5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ht="15.75" customHeight="1">
      <c r="A280" s="7"/>
      <c r="B280" s="7"/>
      <c r="C280" s="5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ht="15.75" customHeight="1">
      <c r="A281" s="7"/>
      <c r="B281" s="7"/>
      <c r="C281" s="5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ht="15.75" customHeight="1">
      <c r="A282" s="7"/>
      <c r="B282" s="7"/>
      <c r="C282" s="5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ht="15.75" customHeight="1">
      <c r="A283" s="7"/>
      <c r="B283" s="7"/>
      <c r="C283" s="5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ht="15.75" customHeight="1">
      <c r="A284" s="7"/>
      <c r="B284" s="7"/>
      <c r="C284" s="5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ht="15.75" customHeight="1">
      <c r="A285" s="7"/>
      <c r="B285" s="7"/>
      <c r="C285" s="5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ht="15.75" customHeight="1">
      <c r="A286" s="7"/>
      <c r="B286" s="7"/>
      <c r="C286" s="5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ht="15.75" customHeight="1">
      <c r="A287" s="7"/>
      <c r="B287" s="7"/>
      <c r="C287" s="5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ht="15.75" customHeight="1">
      <c r="A288" s="7"/>
      <c r="B288" s="7"/>
      <c r="C288" s="5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ht="15.75" customHeight="1">
      <c r="A289" s="7"/>
      <c r="B289" s="7"/>
      <c r="C289" s="5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ht="15.75" customHeight="1">
      <c r="A290" s="7"/>
      <c r="B290" s="7"/>
      <c r="C290" s="5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ht="15.75" customHeight="1">
      <c r="A291" s="7"/>
      <c r="B291" s="7"/>
      <c r="C291" s="5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ht="15.75" customHeight="1">
      <c r="A292" s="7"/>
      <c r="B292" s="7"/>
      <c r="C292" s="5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ht="15.75" customHeight="1">
      <c r="A293" s="7"/>
      <c r="B293" s="7"/>
      <c r="C293" s="5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ht="15.75" customHeight="1">
      <c r="A294" s="7"/>
      <c r="B294" s="7"/>
      <c r="C294" s="5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ht="15.75" customHeight="1">
      <c r="A295" s="7"/>
      <c r="B295" s="7"/>
      <c r="C295" s="5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ht="15.75" customHeight="1">
      <c r="A296" s="7"/>
      <c r="B296" s="7"/>
      <c r="C296" s="5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ht="15.75" customHeight="1">
      <c r="A297" s="7"/>
      <c r="B297" s="7"/>
      <c r="C297" s="5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ht="15.75" customHeight="1">
      <c r="A298" s="7"/>
      <c r="B298" s="7"/>
      <c r="C298" s="5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ht="15.75" customHeight="1">
      <c r="A299" s="7"/>
      <c r="B299" s="7"/>
      <c r="C299" s="5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ht="15.75" customHeight="1">
      <c r="A300" s="7"/>
      <c r="B300" s="7"/>
      <c r="C300" s="5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ht="15.75" customHeight="1">
      <c r="A301" s="7"/>
      <c r="B301" s="7"/>
      <c r="C301" s="5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ht="15.75" customHeight="1">
      <c r="A302" s="7"/>
      <c r="B302" s="7"/>
      <c r="C302" s="5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ht="15.75" customHeight="1">
      <c r="A303" s="7"/>
      <c r="B303" s="7"/>
      <c r="C303" s="5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ht="15.75" customHeight="1">
      <c r="A304" s="7"/>
      <c r="B304" s="7"/>
      <c r="C304" s="5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ht="15.75" customHeight="1">
      <c r="A305" s="7"/>
      <c r="B305" s="7"/>
      <c r="C305" s="5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ht="15.75" customHeight="1">
      <c r="A306" s="7"/>
      <c r="B306" s="7"/>
      <c r="C306" s="5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ht="15.75" customHeight="1">
      <c r="A307" s="7"/>
      <c r="B307" s="7"/>
      <c r="C307" s="5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ht="15.75" customHeight="1">
      <c r="A308" s="7"/>
      <c r="B308" s="7"/>
      <c r="C308" s="5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ht="15.75" customHeight="1">
      <c r="A309" s="7"/>
      <c r="B309" s="7"/>
      <c r="C309" s="5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ht="15.75" customHeight="1">
      <c r="A310" s="7"/>
      <c r="B310" s="7"/>
      <c r="C310" s="5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ht="15.75" customHeight="1">
      <c r="A311" s="7"/>
      <c r="B311" s="7"/>
      <c r="C311" s="5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ht="15.75" customHeight="1">
      <c r="A312" s="7"/>
      <c r="B312" s="7"/>
      <c r="C312" s="5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ht="15.75" customHeight="1">
      <c r="A313" s="7"/>
      <c r="B313" s="7"/>
      <c r="C313" s="5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ht="15.75" customHeight="1">
      <c r="A314" s="7"/>
      <c r="B314" s="7"/>
      <c r="C314" s="5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ht="15.75" customHeight="1">
      <c r="A315" s="7"/>
      <c r="B315" s="7"/>
      <c r="C315" s="5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ht="15.75" customHeight="1">
      <c r="A316" s="7"/>
      <c r="B316" s="7"/>
      <c r="C316" s="5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ht="15.75" customHeight="1">
      <c r="A317" s="7"/>
      <c r="B317" s="7"/>
      <c r="C317" s="5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ht="15.75" customHeight="1">
      <c r="A318" s="7"/>
      <c r="B318" s="7"/>
      <c r="C318" s="5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ht="15.75" customHeight="1">
      <c r="A319" s="7"/>
      <c r="B319" s="7"/>
      <c r="C319" s="5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ht="15.75" customHeight="1">
      <c r="A320" s="7"/>
      <c r="B320" s="7"/>
      <c r="C320" s="5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ht="15.75" customHeight="1">
      <c r="A321" s="7"/>
      <c r="B321" s="7"/>
      <c r="C321" s="5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ht="15.75" customHeight="1">
      <c r="A322" s="7"/>
      <c r="B322" s="7"/>
      <c r="C322" s="5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ht="15.75" customHeight="1">
      <c r="A323" s="7"/>
      <c r="B323" s="7"/>
      <c r="C323" s="5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ht="15.75" customHeight="1">
      <c r="A324" s="7"/>
      <c r="B324" s="7"/>
      <c r="C324" s="5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ht="15.75" customHeight="1">
      <c r="A325" s="7"/>
      <c r="B325" s="7"/>
      <c r="C325" s="5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ht="15.75" customHeight="1">
      <c r="A326" s="7"/>
      <c r="B326" s="7"/>
      <c r="C326" s="5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ht="15.75" customHeight="1">
      <c r="A327" s="7"/>
      <c r="B327" s="7"/>
      <c r="C327" s="5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ht="15.75" customHeight="1">
      <c r="A328" s="7"/>
      <c r="B328" s="7"/>
      <c r="C328" s="5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ht="15.75" customHeight="1">
      <c r="A329" s="7"/>
      <c r="B329" s="7"/>
      <c r="C329" s="5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ht="15.75" customHeight="1">
      <c r="A330" s="7"/>
      <c r="B330" s="7"/>
      <c r="C330" s="5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ht="15.75" customHeight="1">
      <c r="A331" s="7"/>
      <c r="B331" s="7"/>
      <c r="C331" s="5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ht="15.75" customHeight="1">
      <c r="A332" s="7"/>
      <c r="B332" s="7"/>
      <c r="C332" s="5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ht="15.75" customHeight="1">
      <c r="A333" s="7"/>
      <c r="B333" s="7"/>
      <c r="C333" s="5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ht="15.75" customHeight="1">
      <c r="A334" s="7"/>
      <c r="B334" s="7"/>
      <c r="C334" s="5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ht="15.75" customHeight="1">
      <c r="A335" s="7"/>
      <c r="B335" s="7"/>
      <c r="C335" s="5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ht="15.75" customHeight="1">
      <c r="A336" s="7"/>
      <c r="B336" s="7"/>
      <c r="C336" s="5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ht="15.75" customHeight="1">
      <c r="A337" s="7"/>
      <c r="B337" s="7"/>
      <c r="C337" s="5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ht="15.75" customHeight="1">
      <c r="A338" s="7"/>
      <c r="B338" s="7"/>
      <c r="C338" s="5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ht="15.75" customHeight="1">
      <c r="A339" s="7"/>
      <c r="B339" s="7"/>
      <c r="C339" s="5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ht="15.75" customHeight="1">
      <c r="A340" s="7"/>
      <c r="B340" s="7"/>
      <c r="C340" s="5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ht="15.75" customHeight="1">
      <c r="A341" s="7"/>
      <c r="B341" s="7"/>
      <c r="C341" s="5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ht="15.75" customHeight="1">
      <c r="A342" s="7"/>
      <c r="B342" s="7"/>
      <c r="C342" s="5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ht="15.75" customHeight="1">
      <c r="A343" s="7"/>
      <c r="B343" s="7"/>
      <c r="C343" s="5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ht="15.75" customHeight="1">
      <c r="A344" s="7"/>
      <c r="B344" s="7"/>
      <c r="C344" s="5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ht="15.75" customHeight="1">
      <c r="A345" s="7"/>
      <c r="B345" s="7"/>
      <c r="C345" s="5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ht="15.75" customHeight="1">
      <c r="A346" s="7"/>
      <c r="B346" s="7"/>
      <c r="C346" s="5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ht="15.75" customHeight="1">
      <c r="A347" s="7"/>
      <c r="B347" s="7"/>
      <c r="C347" s="5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ht="15.75" customHeight="1">
      <c r="A348" s="7"/>
      <c r="B348" s="7"/>
      <c r="C348" s="5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ht="15.75" customHeight="1">
      <c r="A349" s="7"/>
      <c r="B349" s="7"/>
      <c r="C349" s="5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ht="15.75" customHeight="1">
      <c r="A350" s="7"/>
      <c r="B350" s="7"/>
      <c r="C350" s="5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ht="15.75" customHeight="1">
      <c r="A351" s="7"/>
      <c r="B351" s="7"/>
      <c r="C351" s="5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ht="15.75" customHeight="1">
      <c r="A352" s="7"/>
      <c r="B352" s="7"/>
      <c r="C352" s="5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ht="15.75" customHeight="1">
      <c r="A353" s="7"/>
      <c r="B353" s="7"/>
      <c r="C353" s="5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ht="15.75" customHeight="1">
      <c r="A354" s="7"/>
      <c r="B354" s="7"/>
      <c r="C354" s="5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ht="15.75" customHeight="1">
      <c r="A355" s="7"/>
      <c r="B355" s="7"/>
      <c r="C355" s="5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ht="15.75" customHeight="1">
      <c r="A356" s="7"/>
      <c r="B356" s="7"/>
      <c r="C356" s="5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ht="15.75" customHeight="1">
      <c r="A357" s="7"/>
      <c r="B357" s="7"/>
      <c r="C357" s="5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ht="15.75" customHeight="1">
      <c r="A358" s="7"/>
      <c r="B358" s="7"/>
      <c r="C358" s="5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ht="15.75" customHeight="1">
      <c r="A359" s="7"/>
      <c r="B359" s="7"/>
      <c r="C359" s="5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ht="15.75" customHeight="1">
      <c r="A360" s="7"/>
      <c r="B360" s="7"/>
      <c r="C360" s="5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ht="15.75" customHeight="1">
      <c r="A361" s="7"/>
      <c r="B361" s="7"/>
      <c r="C361" s="5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ht="15.75" customHeight="1">
      <c r="A362" s="7"/>
      <c r="B362" s="7"/>
      <c r="C362" s="5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ht="15.75" customHeight="1">
      <c r="A363" s="7"/>
      <c r="B363" s="7"/>
      <c r="C363" s="5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ht="15.75" customHeight="1">
      <c r="A364" s="7"/>
      <c r="B364" s="7"/>
      <c r="C364" s="5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ht="15.75" customHeight="1">
      <c r="A365" s="7"/>
      <c r="B365" s="7"/>
      <c r="C365" s="5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ht="15.75" customHeight="1">
      <c r="A366" s="7"/>
      <c r="B366" s="7"/>
      <c r="C366" s="5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ht="15.75" customHeight="1">
      <c r="A367" s="7"/>
      <c r="B367" s="7"/>
      <c r="C367" s="5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ht="15.75" customHeight="1">
      <c r="A368" s="7"/>
      <c r="B368" s="7"/>
      <c r="C368" s="5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ht="15.75" customHeight="1">
      <c r="A369" s="7"/>
      <c r="B369" s="7"/>
      <c r="C369" s="5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ht="15.75" customHeight="1">
      <c r="A370" s="7"/>
      <c r="B370" s="7"/>
      <c r="C370" s="5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ht="15.75" customHeight="1">
      <c r="A371" s="7"/>
      <c r="B371" s="7"/>
      <c r="C371" s="5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ht="15.75" customHeight="1">
      <c r="A372" s="7"/>
      <c r="B372" s="7"/>
      <c r="C372" s="5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ht="15.75" customHeight="1">
      <c r="A373" s="7"/>
      <c r="B373" s="7"/>
      <c r="C373" s="5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ht="15.75" customHeight="1">
      <c r="A374" s="7"/>
      <c r="B374" s="7"/>
      <c r="C374" s="5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ht="15.75" customHeight="1">
      <c r="A375" s="7"/>
      <c r="B375" s="7"/>
      <c r="C375" s="5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ht="15.75" customHeight="1">
      <c r="A376" s="7"/>
      <c r="B376" s="7"/>
      <c r="C376" s="5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ht="15.75" customHeight="1">
      <c r="A377" s="7"/>
      <c r="B377" s="7"/>
      <c r="C377" s="5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ht="15.75" customHeight="1">
      <c r="A378" s="7"/>
      <c r="B378" s="7"/>
      <c r="C378" s="5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ht="15.75" customHeight="1">
      <c r="A379" s="7"/>
      <c r="B379" s="7"/>
      <c r="C379" s="5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ht="15.75" customHeight="1">
      <c r="A380" s="7"/>
      <c r="B380" s="7"/>
      <c r="C380" s="5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ht="15.75" customHeight="1">
      <c r="A381" s="7"/>
      <c r="B381" s="7"/>
      <c r="C381" s="5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ht="15.75" customHeight="1">
      <c r="A382" s="7"/>
      <c r="B382" s="7"/>
      <c r="C382" s="5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ht="15.75" customHeight="1">
      <c r="A383" s="7"/>
      <c r="B383" s="7"/>
      <c r="C383" s="5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ht="15.75" customHeight="1">
      <c r="A384" s="7"/>
      <c r="B384" s="7"/>
      <c r="C384" s="5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ht="15.75" customHeight="1">
      <c r="A385" s="7"/>
      <c r="B385" s="7"/>
      <c r="C385" s="5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ht="15.75" customHeight="1">
      <c r="A386" s="7"/>
      <c r="B386" s="7"/>
      <c r="C386" s="5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ht="15.75" customHeight="1">
      <c r="A387" s="7"/>
      <c r="B387" s="7"/>
      <c r="C387" s="5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ht="15.75" customHeight="1">
      <c r="A388" s="7"/>
      <c r="B388" s="7"/>
      <c r="C388" s="5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ht="15.75" customHeight="1">
      <c r="A389" s="7"/>
      <c r="B389" s="7"/>
      <c r="C389" s="5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ht="15.75" customHeight="1">
      <c r="A390" s="7"/>
      <c r="B390" s="7"/>
      <c r="C390" s="5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ht="15.75" customHeight="1">
      <c r="A391" s="7"/>
      <c r="B391" s="7"/>
      <c r="C391" s="5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ht="15.75" customHeight="1">
      <c r="A392" s="7"/>
      <c r="B392" s="7"/>
      <c r="C392" s="5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ht="15.75" customHeight="1">
      <c r="A393" s="7"/>
      <c r="B393" s="7"/>
      <c r="C393" s="5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ht="15.75" customHeight="1">
      <c r="A394" s="7"/>
      <c r="B394" s="7"/>
      <c r="C394" s="5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ht="15.75" customHeight="1">
      <c r="A395" s="7"/>
      <c r="B395" s="7"/>
      <c r="C395" s="5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ht="15.75" customHeight="1">
      <c r="A396" s="7"/>
      <c r="B396" s="7"/>
      <c r="C396" s="5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ht="15.75" customHeight="1">
      <c r="A397" s="7"/>
      <c r="B397" s="7"/>
      <c r="C397" s="5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ht="15.75" customHeight="1">
      <c r="A398" s="7"/>
      <c r="B398" s="7"/>
      <c r="C398" s="5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ht="15.75" customHeight="1">
      <c r="A399" s="7"/>
      <c r="B399" s="7"/>
      <c r="C399" s="5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ht="15.75" customHeight="1">
      <c r="A400" s="7"/>
      <c r="B400" s="7"/>
      <c r="C400" s="5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ht="15.75" customHeight="1">
      <c r="A401" s="7"/>
      <c r="B401" s="7"/>
      <c r="C401" s="5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ht="15.75" customHeight="1">
      <c r="A402" s="7"/>
      <c r="B402" s="7"/>
      <c r="C402" s="5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ht="15.75" customHeight="1">
      <c r="A403" s="7"/>
      <c r="B403" s="7"/>
      <c r="C403" s="5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ht="15.75" customHeight="1">
      <c r="A404" s="7"/>
      <c r="B404" s="7"/>
      <c r="C404" s="5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ht="15.75" customHeight="1">
      <c r="A405" s="7"/>
      <c r="B405" s="7"/>
      <c r="C405" s="5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ht="15.75" customHeight="1">
      <c r="A406" s="7"/>
      <c r="B406" s="7"/>
      <c r="C406" s="5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ht="15.75" customHeight="1">
      <c r="A407" s="7"/>
      <c r="B407" s="7"/>
      <c r="C407" s="5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ht="15.75" customHeight="1">
      <c r="A408" s="7"/>
      <c r="B408" s="7"/>
      <c r="C408" s="5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ht="15.75" customHeight="1">
      <c r="A409" s="7"/>
      <c r="B409" s="7"/>
      <c r="C409" s="5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ht="15.75" customHeight="1">
      <c r="A410" s="7"/>
      <c r="B410" s="7"/>
      <c r="C410" s="5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ht="15.75" customHeight="1">
      <c r="A411" s="7"/>
      <c r="B411" s="7"/>
      <c r="C411" s="5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ht="15.75" customHeight="1">
      <c r="A412" s="7"/>
      <c r="B412" s="7"/>
      <c r="C412" s="5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ht="15.75" customHeight="1">
      <c r="A413" s="7"/>
      <c r="B413" s="7"/>
      <c r="C413" s="5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ht="15.75" customHeight="1">
      <c r="A414" s="7"/>
      <c r="B414" s="7"/>
      <c r="C414" s="5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ht="15.75" customHeight="1">
      <c r="A415" s="7"/>
      <c r="B415" s="7"/>
      <c r="C415" s="5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ht="15.75" customHeight="1">
      <c r="A416" s="7"/>
      <c r="B416" s="7"/>
      <c r="C416" s="5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ht="15.75" customHeight="1">
      <c r="A417" s="7"/>
      <c r="B417" s="7"/>
      <c r="C417" s="5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ht="15.75" customHeight="1">
      <c r="A418" s="7"/>
      <c r="B418" s="7"/>
      <c r="C418" s="5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ht="15.75" customHeight="1">
      <c r="A419" s="7"/>
      <c r="B419" s="7"/>
      <c r="C419" s="5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ht="15.75" customHeight="1">
      <c r="A420" s="7"/>
      <c r="B420" s="7"/>
      <c r="C420" s="5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ht="15.75" customHeight="1">
      <c r="A421" s="7"/>
      <c r="B421" s="7"/>
      <c r="C421" s="5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ht="15.75" customHeight="1">
      <c r="A422" s="7"/>
      <c r="B422" s="7"/>
      <c r="C422" s="5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ht="15.75" customHeight="1">
      <c r="A423" s="7"/>
      <c r="B423" s="7"/>
      <c r="C423" s="5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ht="15.75" customHeight="1">
      <c r="A424" s="7"/>
      <c r="B424" s="7"/>
      <c r="C424" s="5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ht="15.75" customHeight="1">
      <c r="A425" s="7"/>
      <c r="B425" s="7"/>
      <c r="C425" s="5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ht="15.75" customHeight="1">
      <c r="A426" s="7"/>
      <c r="B426" s="7"/>
      <c r="C426" s="5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ht="15.75" customHeight="1">
      <c r="A427" s="7"/>
      <c r="B427" s="7"/>
      <c r="C427" s="5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ht="15.75" customHeight="1">
      <c r="A428" s="7"/>
      <c r="B428" s="7"/>
      <c r="C428" s="5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ht="15.75" customHeight="1">
      <c r="A429" s="7"/>
      <c r="B429" s="7"/>
      <c r="C429" s="5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ht="15.75" customHeight="1">
      <c r="A430" s="7"/>
      <c r="B430" s="7"/>
      <c r="C430" s="5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ht="15.75" customHeight="1">
      <c r="A431" s="7"/>
      <c r="B431" s="7"/>
      <c r="C431" s="5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ht="15.75" customHeight="1">
      <c r="A432" s="7"/>
      <c r="B432" s="7"/>
      <c r="C432" s="5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ht="15.75" customHeight="1">
      <c r="A433" s="7"/>
      <c r="B433" s="7"/>
      <c r="C433" s="5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ht="15.75" customHeight="1">
      <c r="A434" s="7"/>
      <c r="B434" s="7"/>
      <c r="C434" s="5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ht="15.75" customHeight="1">
      <c r="A435" s="7"/>
      <c r="B435" s="7"/>
      <c r="C435" s="5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ht="15.75" customHeight="1">
      <c r="A436" s="7"/>
      <c r="B436" s="7"/>
      <c r="C436" s="5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ht="15.75" customHeight="1">
      <c r="A437" s="7"/>
      <c r="B437" s="7"/>
      <c r="C437" s="5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ht="15.75" customHeight="1">
      <c r="A438" s="7"/>
      <c r="B438" s="7"/>
      <c r="C438" s="5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ht="15.75" customHeight="1">
      <c r="A439" s="7"/>
      <c r="B439" s="7"/>
      <c r="C439" s="5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ht="15.75" customHeight="1">
      <c r="A440" s="7"/>
      <c r="B440" s="7"/>
      <c r="C440" s="5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ht="15.75" customHeight="1">
      <c r="A441" s="7"/>
      <c r="B441" s="7"/>
      <c r="C441" s="5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ht="15.75" customHeight="1">
      <c r="A442" s="7"/>
      <c r="B442" s="7"/>
      <c r="C442" s="5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ht="15.75" customHeight="1">
      <c r="A443" s="7"/>
      <c r="B443" s="7"/>
      <c r="C443" s="5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ht="15.75" customHeight="1">
      <c r="A444" s="7"/>
      <c r="B444" s="7"/>
      <c r="C444" s="5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ht="15.75" customHeight="1">
      <c r="A445" s="7"/>
      <c r="B445" s="7"/>
      <c r="C445" s="5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ht="15.75" customHeight="1">
      <c r="A446" s="7"/>
      <c r="B446" s="7"/>
      <c r="C446" s="5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ht="15.75" customHeight="1">
      <c r="A447" s="7"/>
      <c r="B447" s="7"/>
      <c r="C447" s="5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ht="15.75" customHeight="1">
      <c r="A448" s="7"/>
      <c r="B448" s="7"/>
      <c r="C448" s="5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ht="15.75" customHeight="1">
      <c r="A449" s="7"/>
      <c r="B449" s="7"/>
      <c r="C449" s="5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ht="15.75" customHeight="1">
      <c r="A450" s="7"/>
      <c r="B450" s="7"/>
      <c r="C450" s="5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ht="15.75" customHeight="1">
      <c r="A451" s="7"/>
      <c r="B451" s="7"/>
      <c r="C451" s="5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ht="15.75" customHeight="1">
      <c r="A452" s="7"/>
      <c r="B452" s="7"/>
      <c r="C452" s="5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ht="15.75" customHeight="1">
      <c r="A453" s="7"/>
      <c r="B453" s="7"/>
      <c r="C453" s="5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ht="15.75" customHeight="1">
      <c r="A454" s="7"/>
      <c r="B454" s="7"/>
      <c r="C454" s="5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ht="15.75" customHeight="1">
      <c r="A455" s="7"/>
      <c r="B455" s="7"/>
      <c r="C455" s="5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ht="15.75" customHeight="1">
      <c r="A456" s="7"/>
      <c r="B456" s="7"/>
      <c r="C456" s="5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ht="15.75" customHeight="1">
      <c r="A457" s="7"/>
      <c r="B457" s="7"/>
      <c r="C457" s="5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ht="15.75" customHeight="1">
      <c r="A458" s="7"/>
      <c r="B458" s="7"/>
      <c r="C458" s="5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ht="15.75" customHeight="1">
      <c r="A459" s="7"/>
      <c r="B459" s="7"/>
      <c r="C459" s="5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ht="15.75" customHeight="1">
      <c r="A460" s="7"/>
      <c r="B460" s="7"/>
      <c r="C460" s="5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ht="15.75" customHeight="1">
      <c r="A461" s="7"/>
      <c r="B461" s="7"/>
      <c r="C461" s="5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ht="15.75" customHeight="1">
      <c r="A462" s="7"/>
      <c r="B462" s="7"/>
      <c r="C462" s="5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ht="15.75" customHeight="1">
      <c r="A463" s="7"/>
      <c r="B463" s="7"/>
      <c r="C463" s="5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ht="15.75" customHeight="1">
      <c r="A464" s="7"/>
      <c r="B464" s="7"/>
      <c r="C464" s="5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ht="15.75" customHeight="1">
      <c r="A465" s="7"/>
      <c r="B465" s="7"/>
      <c r="C465" s="5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ht="15.75" customHeight="1">
      <c r="A466" s="7"/>
      <c r="B466" s="7"/>
      <c r="C466" s="5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ht="15.75" customHeight="1">
      <c r="A467" s="7"/>
      <c r="B467" s="7"/>
      <c r="C467" s="5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ht="15.75" customHeight="1">
      <c r="A468" s="7"/>
      <c r="B468" s="7"/>
      <c r="C468" s="5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ht="15.75" customHeight="1">
      <c r="A469" s="7"/>
      <c r="B469" s="7"/>
      <c r="C469" s="5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ht="15.75" customHeight="1">
      <c r="A470" s="7"/>
      <c r="B470" s="7"/>
      <c r="C470" s="5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ht="15.75" customHeight="1">
      <c r="A471" s="7"/>
      <c r="B471" s="7"/>
      <c r="C471" s="5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ht="15.75" customHeight="1">
      <c r="A472" s="7"/>
      <c r="B472" s="7"/>
      <c r="C472" s="5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ht="15.75" customHeight="1">
      <c r="A473" s="7"/>
      <c r="B473" s="7"/>
      <c r="C473" s="5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ht="15.75" customHeight="1">
      <c r="A474" s="7"/>
      <c r="B474" s="7"/>
      <c r="C474" s="5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ht="15.75" customHeight="1">
      <c r="A475" s="7"/>
      <c r="B475" s="7"/>
      <c r="C475" s="5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ht="15.75" customHeight="1">
      <c r="A476" s="7"/>
      <c r="B476" s="7"/>
      <c r="C476" s="5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ht="15.75" customHeight="1">
      <c r="A477" s="7"/>
      <c r="B477" s="7"/>
      <c r="C477" s="5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ht="15.75" customHeight="1">
      <c r="A478" s="7"/>
      <c r="B478" s="7"/>
      <c r="C478" s="5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ht="15.75" customHeight="1">
      <c r="A479" s="7"/>
      <c r="B479" s="7"/>
      <c r="C479" s="5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ht="15.75" customHeight="1">
      <c r="A480" s="7"/>
      <c r="B480" s="7"/>
      <c r="C480" s="5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ht="15.75" customHeight="1">
      <c r="A481" s="7"/>
      <c r="B481" s="7"/>
      <c r="C481" s="5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ht="15.75" customHeight="1">
      <c r="A482" s="7"/>
      <c r="B482" s="7"/>
      <c r="C482" s="5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ht="15.75" customHeight="1">
      <c r="A483" s="7"/>
      <c r="B483" s="7"/>
      <c r="C483" s="5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ht="15.75" customHeight="1">
      <c r="A484" s="7"/>
      <c r="B484" s="7"/>
      <c r="C484" s="5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ht="15.75" customHeight="1">
      <c r="A485" s="7"/>
      <c r="B485" s="7"/>
      <c r="C485" s="5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ht="15.75" customHeight="1">
      <c r="A486" s="7"/>
      <c r="B486" s="7"/>
      <c r="C486" s="5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ht="15.75" customHeight="1">
      <c r="A487" s="7"/>
      <c r="B487" s="7"/>
      <c r="C487" s="5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ht="15.75" customHeight="1">
      <c r="A488" s="7"/>
      <c r="B488" s="7"/>
      <c r="C488" s="5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ht="15.75" customHeight="1">
      <c r="A489" s="7"/>
      <c r="B489" s="7"/>
      <c r="C489" s="5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ht="15.75" customHeight="1">
      <c r="A490" s="7"/>
      <c r="B490" s="7"/>
      <c r="C490" s="5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ht="15.75" customHeight="1">
      <c r="A491" s="7"/>
      <c r="B491" s="7"/>
      <c r="C491" s="5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ht="15.75" customHeight="1">
      <c r="A492" s="7"/>
      <c r="B492" s="7"/>
      <c r="C492" s="5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ht="15.75" customHeight="1">
      <c r="A493" s="7"/>
      <c r="B493" s="7"/>
      <c r="C493" s="5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ht="15.75" customHeight="1">
      <c r="A494" s="7"/>
      <c r="B494" s="7"/>
      <c r="C494" s="5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ht="15.75" customHeight="1">
      <c r="A495" s="7"/>
      <c r="B495" s="7"/>
      <c r="C495" s="5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ht="15.75" customHeight="1">
      <c r="A496" s="7"/>
      <c r="B496" s="7"/>
      <c r="C496" s="5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ht="15.75" customHeight="1">
      <c r="A497" s="7"/>
      <c r="B497" s="7"/>
      <c r="C497" s="5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ht="15.75" customHeight="1">
      <c r="A498" s="7"/>
      <c r="B498" s="7"/>
      <c r="C498" s="5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ht="15.75" customHeight="1">
      <c r="A499" s="7"/>
      <c r="B499" s="7"/>
      <c r="C499" s="5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ht="15.75" customHeight="1">
      <c r="A500" s="7"/>
      <c r="B500" s="7"/>
      <c r="C500" s="5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ht="15.75" customHeight="1">
      <c r="A501" s="7"/>
      <c r="B501" s="7"/>
      <c r="C501" s="5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ht="15.75" customHeight="1">
      <c r="A502" s="7"/>
      <c r="B502" s="7"/>
      <c r="C502" s="5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ht="15.75" customHeight="1">
      <c r="A503" s="7"/>
      <c r="B503" s="7"/>
      <c r="C503" s="5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ht="15.75" customHeight="1">
      <c r="A504" s="7"/>
      <c r="B504" s="7"/>
      <c r="C504" s="5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ht="15.75" customHeight="1">
      <c r="A505" s="7"/>
      <c r="B505" s="7"/>
      <c r="C505" s="5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ht="15.75" customHeight="1">
      <c r="A506" s="7"/>
      <c r="B506" s="7"/>
      <c r="C506" s="5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ht="15.75" customHeight="1">
      <c r="A507" s="7"/>
      <c r="B507" s="7"/>
      <c r="C507" s="5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ht="15.75" customHeight="1">
      <c r="A508" s="7"/>
      <c r="B508" s="7"/>
      <c r="C508" s="5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ht="15.75" customHeight="1">
      <c r="A509" s="7"/>
      <c r="B509" s="7"/>
      <c r="C509" s="5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ht="15.75" customHeight="1">
      <c r="A510" s="7"/>
      <c r="B510" s="7"/>
      <c r="C510" s="5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ht="15.75" customHeight="1">
      <c r="A511" s="7"/>
      <c r="B511" s="7"/>
      <c r="C511" s="5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ht="15.75" customHeight="1">
      <c r="A512" s="7"/>
      <c r="B512" s="7"/>
      <c r="C512" s="5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ht="15.75" customHeight="1">
      <c r="A513" s="7"/>
      <c r="B513" s="7"/>
      <c r="C513" s="5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ht="15.75" customHeight="1">
      <c r="A514" s="7"/>
      <c r="B514" s="7"/>
      <c r="C514" s="5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ht="15.75" customHeight="1">
      <c r="A515" s="7"/>
      <c r="B515" s="7"/>
      <c r="C515" s="5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ht="15.75" customHeight="1">
      <c r="A516" s="7"/>
      <c r="B516" s="7"/>
      <c r="C516" s="5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ht="15.75" customHeight="1">
      <c r="A517" s="7"/>
      <c r="B517" s="7"/>
      <c r="C517" s="5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ht="15.75" customHeight="1">
      <c r="A518" s="7"/>
      <c r="B518" s="7"/>
      <c r="C518" s="5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ht="15.75" customHeight="1">
      <c r="A519" s="7"/>
      <c r="B519" s="7"/>
      <c r="C519" s="5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ht="15.75" customHeight="1">
      <c r="A520" s="7"/>
      <c r="B520" s="7"/>
      <c r="C520" s="5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ht="15.75" customHeight="1">
      <c r="A521" s="7"/>
      <c r="B521" s="7"/>
      <c r="C521" s="5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ht="15.75" customHeight="1">
      <c r="A522" s="7"/>
      <c r="B522" s="7"/>
      <c r="C522" s="5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ht="15.75" customHeight="1">
      <c r="A523" s="7"/>
      <c r="B523" s="7"/>
      <c r="C523" s="5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ht="15.75" customHeight="1">
      <c r="A524" s="7"/>
      <c r="B524" s="7"/>
      <c r="C524" s="5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ht="15.75" customHeight="1">
      <c r="A525" s="7"/>
      <c r="B525" s="7"/>
      <c r="C525" s="5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ht="15.75" customHeight="1">
      <c r="A526" s="7"/>
      <c r="B526" s="7"/>
      <c r="C526" s="5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ht="15.75" customHeight="1">
      <c r="A527" s="7"/>
      <c r="B527" s="7"/>
      <c r="C527" s="5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ht="15.75" customHeight="1">
      <c r="A528" s="7"/>
      <c r="B528" s="7"/>
      <c r="C528" s="5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ht="15.75" customHeight="1">
      <c r="A529" s="7"/>
      <c r="B529" s="7"/>
      <c r="C529" s="5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ht="15.75" customHeight="1">
      <c r="A530" s="7"/>
      <c r="B530" s="7"/>
      <c r="C530" s="5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ht="15.75" customHeight="1">
      <c r="A531" s="7"/>
      <c r="B531" s="7"/>
      <c r="C531" s="5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ht="15.75" customHeight="1">
      <c r="A532" s="7"/>
      <c r="B532" s="7"/>
      <c r="C532" s="5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ht="15.75" customHeight="1">
      <c r="A533" s="7"/>
      <c r="B533" s="7"/>
      <c r="C533" s="5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ht="15.75" customHeight="1">
      <c r="A534" s="7"/>
      <c r="B534" s="7"/>
      <c r="C534" s="5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ht="15.75" customHeight="1">
      <c r="A535" s="7"/>
      <c r="B535" s="7"/>
      <c r="C535" s="5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ht="15.75" customHeight="1">
      <c r="A536" s="7"/>
      <c r="B536" s="7"/>
      <c r="C536" s="5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ht="15.75" customHeight="1">
      <c r="A537" s="7"/>
      <c r="B537" s="7"/>
      <c r="C537" s="5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ht="15.75" customHeight="1">
      <c r="A538" s="7"/>
      <c r="B538" s="7"/>
      <c r="C538" s="5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ht="15.75" customHeight="1">
      <c r="A539" s="7"/>
      <c r="B539" s="7"/>
      <c r="C539" s="5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ht="15.75" customHeight="1">
      <c r="A540" s="7"/>
      <c r="B540" s="7"/>
      <c r="C540" s="5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ht="15.75" customHeight="1">
      <c r="A541" s="7"/>
      <c r="B541" s="7"/>
      <c r="C541" s="5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ht="15.75" customHeight="1">
      <c r="A542" s="7"/>
      <c r="B542" s="7"/>
      <c r="C542" s="5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ht="15.75" customHeight="1">
      <c r="A543" s="7"/>
      <c r="B543" s="7"/>
      <c r="C543" s="5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ht="15.75" customHeight="1">
      <c r="A544" s="7"/>
      <c r="B544" s="7"/>
      <c r="C544" s="5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ht="15.75" customHeight="1">
      <c r="A545" s="7"/>
      <c r="B545" s="7"/>
      <c r="C545" s="5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ht="15.75" customHeight="1">
      <c r="A546" s="7"/>
      <c r="B546" s="7"/>
      <c r="C546" s="5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ht="15.75" customHeight="1">
      <c r="A547" s="7"/>
      <c r="B547" s="7"/>
      <c r="C547" s="5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ht="15.75" customHeight="1">
      <c r="A548" s="7"/>
      <c r="B548" s="7"/>
      <c r="C548" s="5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ht="15.75" customHeight="1">
      <c r="A549" s="7"/>
      <c r="B549" s="7"/>
      <c r="C549" s="5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ht="15.75" customHeight="1">
      <c r="A550" s="7"/>
      <c r="B550" s="7"/>
      <c r="C550" s="5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ht="15.75" customHeight="1">
      <c r="A551" s="7"/>
      <c r="B551" s="7"/>
      <c r="C551" s="5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ht="15.75" customHeight="1">
      <c r="A552" s="7"/>
      <c r="B552" s="7"/>
      <c r="C552" s="5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ht="15.75" customHeight="1">
      <c r="A553" s="7"/>
      <c r="B553" s="7"/>
      <c r="C553" s="5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ht="15.75" customHeight="1">
      <c r="A554" s="7"/>
      <c r="B554" s="7"/>
      <c r="C554" s="5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ht="15.75" customHeight="1">
      <c r="A555" s="7"/>
      <c r="B555" s="7"/>
      <c r="C555" s="5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ht="15.75" customHeight="1">
      <c r="A556" s="7"/>
      <c r="B556" s="7"/>
      <c r="C556" s="5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ht="15.75" customHeight="1">
      <c r="A557" s="7"/>
      <c r="B557" s="7"/>
      <c r="C557" s="5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ht="15.75" customHeight="1">
      <c r="A558" s="7"/>
      <c r="B558" s="7"/>
      <c r="C558" s="5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ht="15.75" customHeight="1">
      <c r="A559" s="7"/>
      <c r="B559" s="7"/>
      <c r="C559" s="5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ht="15.75" customHeight="1">
      <c r="A560" s="7"/>
      <c r="B560" s="7"/>
      <c r="C560" s="5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ht="15.75" customHeight="1">
      <c r="A561" s="7"/>
      <c r="B561" s="7"/>
      <c r="C561" s="5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ht="15.75" customHeight="1">
      <c r="A562" s="7"/>
      <c r="B562" s="7"/>
      <c r="C562" s="5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ht="15.75" customHeight="1">
      <c r="A563" s="7"/>
      <c r="B563" s="7"/>
      <c r="C563" s="5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ht="15.75" customHeight="1">
      <c r="A564" s="7"/>
      <c r="B564" s="7"/>
      <c r="C564" s="5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ht="15.75" customHeight="1">
      <c r="A565" s="7"/>
      <c r="B565" s="7"/>
      <c r="C565" s="5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ht="15.75" customHeight="1">
      <c r="A566" s="7"/>
      <c r="B566" s="7"/>
      <c r="C566" s="5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ht="15.75" customHeight="1">
      <c r="A567" s="7"/>
      <c r="B567" s="7"/>
      <c r="C567" s="5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ht="15.75" customHeight="1">
      <c r="A568" s="7"/>
      <c r="B568" s="7"/>
      <c r="C568" s="5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ht="15.75" customHeight="1">
      <c r="A569" s="7"/>
      <c r="B569" s="7"/>
      <c r="C569" s="5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ht="15.75" customHeight="1">
      <c r="A570" s="7"/>
      <c r="B570" s="7"/>
      <c r="C570" s="5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ht="15.75" customHeight="1">
      <c r="A571" s="7"/>
      <c r="B571" s="7"/>
      <c r="C571" s="5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ht="15.75" customHeight="1">
      <c r="A572" s="7"/>
      <c r="B572" s="7"/>
      <c r="C572" s="5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ht="15.75" customHeight="1">
      <c r="A573" s="7"/>
      <c r="B573" s="7"/>
      <c r="C573" s="5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ht="15.75" customHeight="1">
      <c r="A574" s="7"/>
      <c r="B574" s="7"/>
      <c r="C574" s="5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ht="15.75" customHeight="1">
      <c r="A575" s="7"/>
      <c r="B575" s="7"/>
      <c r="C575" s="5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ht="15.75" customHeight="1">
      <c r="A576" s="7"/>
      <c r="B576" s="7"/>
      <c r="C576" s="5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ht="15.75" customHeight="1">
      <c r="A577" s="7"/>
      <c r="B577" s="7"/>
      <c r="C577" s="5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ht="15.75" customHeight="1">
      <c r="A578" s="7"/>
      <c r="B578" s="7"/>
      <c r="C578" s="5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ht="15.75" customHeight="1">
      <c r="A579" s="7"/>
      <c r="B579" s="7"/>
      <c r="C579" s="5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ht="15.75" customHeight="1">
      <c r="A580" s="7"/>
      <c r="B580" s="7"/>
      <c r="C580" s="5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ht="15.75" customHeight="1">
      <c r="A581" s="7"/>
      <c r="B581" s="7"/>
      <c r="C581" s="5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ht="15.75" customHeight="1">
      <c r="A582" s="7"/>
      <c r="B582" s="7"/>
      <c r="C582" s="5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ht="15.75" customHeight="1">
      <c r="A583" s="7"/>
      <c r="B583" s="7"/>
      <c r="C583" s="5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ht="15.75" customHeight="1">
      <c r="A584" s="7"/>
      <c r="B584" s="7"/>
      <c r="C584" s="5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ht="15.75" customHeight="1">
      <c r="A585" s="7"/>
      <c r="B585" s="7"/>
      <c r="C585" s="5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ht="15.75" customHeight="1">
      <c r="A586" s="7"/>
      <c r="B586" s="7"/>
      <c r="C586" s="5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ht="15.75" customHeight="1">
      <c r="A587" s="7"/>
      <c r="B587" s="7"/>
      <c r="C587" s="5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ht="15.75" customHeight="1">
      <c r="A588" s="7"/>
      <c r="B588" s="7"/>
      <c r="C588" s="5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ht="15.75" customHeight="1">
      <c r="A589" s="7"/>
      <c r="B589" s="7"/>
      <c r="C589" s="5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ht="15.75" customHeight="1">
      <c r="A590" s="7"/>
      <c r="B590" s="7"/>
      <c r="C590" s="5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ht="15.75" customHeight="1">
      <c r="A591" s="7"/>
      <c r="B591" s="7"/>
      <c r="C591" s="5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ht="15.75" customHeight="1">
      <c r="A592" s="7"/>
      <c r="B592" s="7"/>
      <c r="C592" s="5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ht="15.75" customHeight="1">
      <c r="A593" s="7"/>
      <c r="B593" s="7"/>
      <c r="C593" s="5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ht="15.75" customHeight="1">
      <c r="A594" s="7"/>
      <c r="B594" s="7"/>
      <c r="C594" s="5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ht="15.75" customHeight="1">
      <c r="A595" s="7"/>
      <c r="B595" s="7"/>
      <c r="C595" s="5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ht="15.75" customHeight="1">
      <c r="A596" s="7"/>
      <c r="B596" s="7"/>
      <c r="C596" s="5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ht="15.75" customHeight="1">
      <c r="A597" s="7"/>
      <c r="B597" s="7"/>
      <c r="C597" s="5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ht="15.75" customHeight="1">
      <c r="A598" s="7"/>
      <c r="B598" s="7"/>
      <c r="C598" s="5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ht="15.75" customHeight="1">
      <c r="A599" s="7"/>
      <c r="B599" s="7"/>
      <c r="C599" s="5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ht="15.75" customHeight="1">
      <c r="A600" s="7"/>
      <c r="B600" s="7"/>
      <c r="C600" s="5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ht="15.75" customHeight="1">
      <c r="A601" s="7"/>
      <c r="B601" s="7"/>
      <c r="C601" s="5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ht="15.75" customHeight="1">
      <c r="A602" s="7"/>
      <c r="B602" s="7"/>
      <c r="C602" s="5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ht="15.75" customHeight="1">
      <c r="A603" s="7"/>
      <c r="B603" s="7"/>
      <c r="C603" s="5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ht="15.75" customHeight="1">
      <c r="A604" s="7"/>
      <c r="B604" s="7"/>
      <c r="C604" s="5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ht="15.75" customHeight="1">
      <c r="A605" s="7"/>
      <c r="B605" s="7"/>
      <c r="C605" s="5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ht="15.75" customHeight="1">
      <c r="A606" s="7"/>
      <c r="B606" s="7"/>
      <c r="C606" s="5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ht="15.75" customHeight="1">
      <c r="A607" s="7"/>
      <c r="B607" s="7"/>
      <c r="C607" s="5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ht="15.75" customHeight="1">
      <c r="A608" s="7"/>
      <c r="B608" s="7"/>
      <c r="C608" s="5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ht="15.75" customHeight="1">
      <c r="A609" s="7"/>
      <c r="B609" s="7"/>
      <c r="C609" s="5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ht="15.75" customHeight="1">
      <c r="A610" s="7"/>
      <c r="B610" s="7"/>
      <c r="C610" s="5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ht="15.75" customHeight="1">
      <c r="A611" s="7"/>
      <c r="B611" s="7"/>
      <c r="C611" s="5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ht="15.75" customHeight="1">
      <c r="A612" s="7"/>
      <c r="B612" s="7"/>
      <c r="C612" s="5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ht="15.75" customHeight="1">
      <c r="A613" s="7"/>
      <c r="B613" s="7"/>
      <c r="C613" s="5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ht="15.75" customHeight="1">
      <c r="A614" s="7"/>
      <c r="B614" s="7"/>
      <c r="C614" s="5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ht="15.75" customHeight="1">
      <c r="A615" s="7"/>
      <c r="B615" s="7"/>
      <c r="C615" s="5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ht="15.75" customHeight="1">
      <c r="A616" s="7"/>
      <c r="B616" s="7"/>
      <c r="C616" s="5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ht="15.75" customHeight="1">
      <c r="A617" s="7"/>
      <c r="B617" s="7"/>
      <c r="C617" s="5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ht="15.75" customHeight="1">
      <c r="A618" s="7"/>
      <c r="B618" s="7"/>
      <c r="C618" s="5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ht="15.75" customHeight="1">
      <c r="A619" s="7"/>
      <c r="B619" s="7"/>
      <c r="C619" s="5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ht="15.75" customHeight="1">
      <c r="A620" s="7"/>
      <c r="B620" s="7"/>
      <c r="C620" s="5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ht="15.75" customHeight="1">
      <c r="A621" s="7"/>
      <c r="B621" s="7"/>
      <c r="C621" s="5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ht="15.75" customHeight="1">
      <c r="A622" s="7"/>
      <c r="B622" s="7"/>
      <c r="C622" s="5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ht="15.75" customHeight="1">
      <c r="A623" s="7"/>
      <c r="B623" s="7"/>
      <c r="C623" s="5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ht="15.75" customHeight="1">
      <c r="A624" s="7"/>
      <c r="B624" s="7"/>
      <c r="C624" s="5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ht="15.75" customHeight="1">
      <c r="A625" s="7"/>
      <c r="B625" s="7"/>
      <c r="C625" s="5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ht="15.75" customHeight="1">
      <c r="A626" s="7"/>
      <c r="B626" s="7"/>
      <c r="C626" s="5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ht="15.75" customHeight="1">
      <c r="A627" s="7"/>
      <c r="B627" s="7"/>
      <c r="C627" s="5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ht="15.75" customHeight="1">
      <c r="A628" s="7"/>
      <c r="B628" s="7"/>
      <c r="C628" s="5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ht="15.75" customHeight="1">
      <c r="A629" s="7"/>
      <c r="B629" s="7"/>
      <c r="C629" s="5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ht="15.75" customHeight="1">
      <c r="A630" s="7"/>
      <c r="B630" s="7"/>
      <c r="C630" s="5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ht="15.75" customHeight="1">
      <c r="A631" s="7"/>
      <c r="B631" s="7"/>
      <c r="C631" s="5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ht="15.75" customHeight="1">
      <c r="A632" s="7"/>
      <c r="B632" s="7"/>
      <c r="C632" s="5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ht="15.75" customHeight="1">
      <c r="A633" s="7"/>
      <c r="B633" s="7"/>
      <c r="C633" s="5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ht="15.75" customHeight="1">
      <c r="A634" s="7"/>
      <c r="B634" s="7"/>
      <c r="C634" s="5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ht="15.75" customHeight="1">
      <c r="A635" s="7"/>
      <c r="B635" s="7"/>
      <c r="C635" s="5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ht="15.75" customHeight="1">
      <c r="A636" s="7"/>
      <c r="B636" s="7"/>
      <c r="C636" s="5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ht="15.75" customHeight="1">
      <c r="A637" s="7"/>
      <c r="B637" s="7"/>
      <c r="C637" s="5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ht="15.75" customHeight="1">
      <c r="A638" s="7"/>
      <c r="B638" s="7"/>
      <c r="C638" s="5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ht="15.75" customHeight="1">
      <c r="A639" s="7"/>
      <c r="B639" s="7"/>
      <c r="C639" s="5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ht="15.75" customHeight="1">
      <c r="A640" s="7"/>
      <c r="B640" s="7"/>
      <c r="C640" s="5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ht="15.75" customHeight="1">
      <c r="A641" s="7"/>
      <c r="B641" s="7"/>
      <c r="C641" s="5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ht="15.75" customHeight="1">
      <c r="A642" s="7"/>
      <c r="B642" s="7"/>
      <c r="C642" s="5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ht="15.75" customHeight="1">
      <c r="A643" s="7"/>
      <c r="B643" s="7"/>
      <c r="C643" s="5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ht="15.75" customHeight="1">
      <c r="A644" s="7"/>
      <c r="B644" s="7"/>
      <c r="C644" s="5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ht="15.75" customHeight="1">
      <c r="A645" s="7"/>
      <c r="B645" s="7"/>
      <c r="C645" s="5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ht="15.75" customHeight="1">
      <c r="A646" s="7"/>
      <c r="B646" s="7"/>
      <c r="C646" s="5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ht="15.75" customHeight="1">
      <c r="A647" s="7"/>
      <c r="B647" s="7"/>
      <c r="C647" s="5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ht="15.75" customHeight="1">
      <c r="A648" s="7"/>
      <c r="B648" s="7"/>
      <c r="C648" s="5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ht="15.75" customHeight="1">
      <c r="A649" s="7"/>
      <c r="B649" s="7"/>
      <c r="C649" s="5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ht="15.75" customHeight="1">
      <c r="A650" s="7"/>
      <c r="B650" s="7"/>
      <c r="C650" s="5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ht="15.75" customHeight="1">
      <c r="A651" s="7"/>
      <c r="B651" s="7"/>
      <c r="C651" s="5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ht="15.75" customHeight="1">
      <c r="A652" s="7"/>
      <c r="B652" s="7"/>
      <c r="C652" s="5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ht="15.75" customHeight="1">
      <c r="A653" s="7"/>
      <c r="B653" s="7"/>
      <c r="C653" s="5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ht="15.75" customHeight="1">
      <c r="A654" s="7"/>
      <c r="B654" s="7"/>
      <c r="C654" s="5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ht="15.75" customHeight="1">
      <c r="A655" s="7"/>
      <c r="B655" s="7"/>
      <c r="C655" s="5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ht="15.75" customHeight="1">
      <c r="A656" s="7"/>
      <c r="B656" s="7"/>
      <c r="C656" s="5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ht="15.75" customHeight="1">
      <c r="A657" s="7"/>
      <c r="B657" s="7"/>
      <c r="C657" s="5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ht="15.75" customHeight="1">
      <c r="A658" s="7"/>
      <c r="B658" s="7"/>
      <c r="C658" s="5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ht="15.75" customHeight="1">
      <c r="A659" s="7"/>
      <c r="B659" s="7"/>
      <c r="C659" s="5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ht="15.75" customHeight="1">
      <c r="A660" s="7"/>
      <c r="B660" s="7"/>
      <c r="C660" s="5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ht="15.75" customHeight="1">
      <c r="A661" s="7"/>
      <c r="B661" s="7"/>
      <c r="C661" s="5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ht="15.75" customHeight="1">
      <c r="A662" s="7"/>
      <c r="B662" s="7"/>
      <c r="C662" s="5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ht="15.75" customHeight="1">
      <c r="A663" s="7"/>
      <c r="B663" s="7"/>
      <c r="C663" s="5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ht="15.75" customHeight="1">
      <c r="A664" s="7"/>
      <c r="B664" s="7"/>
      <c r="C664" s="5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ht="15.75" customHeight="1">
      <c r="A665" s="7"/>
      <c r="B665" s="7"/>
      <c r="C665" s="5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ht="15.75" customHeight="1">
      <c r="A666" s="7"/>
      <c r="B666" s="7"/>
      <c r="C666" s="5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ht="15.75" customHeight="1">
      <c r="A667" s="7"/>
      <c r="B667" s="7"/>
      <c r="C667" s="5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ht="15.75" customHeight="1">
      <c r="A668" s="7"/>
      <c r="B668" s="7"/>
      <c r="C668" s="5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ht="15.75" customHeight="1">
      <c r="A669" s="7"/>
      <c r="B669" s="7"/>
      <c r="C669" s="5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ht="15.75" customHeight="1">
      <c r="A670" s="7"/>
      <c r="B670" s="7"/>
      <c r="C670" s="5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ht="15.75" customHeight="1">
      <c r="A671" s="7"/>
      <c r="B671" s="7"/>
      <c r="C671" s="5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ht="15.75" customHeight="1">
      <c r="A672" s="7"/>
      <c r="B672" s="7"/>
      <c r="C672" s="5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ht="15.75" customHeight="1">
      <c r="A673" s="7"/>
      <c r="B673" s="7"/>
      <c r="C673" s="5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ht="15.75" customHeight="1">
      <c r="A674" s="7"/>
      <c r="B674" s="7"/>
      <c r="C674" s="5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ht="15.75" customHeight="1">
      <c r="A675" s="7"/>
      <c r="B675" s="7"/>
      <c r="C675" s="5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ht="15.75" customHeight="1">
      <c r="A676" s="7"/>
      <c r="B676" s="7"/>
      <c r="C676" s="5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ht="15.75" customHeight="1">
      <c r="A677" s="7"/>
      <c r="B677" s="7"/>
      <c r="C677" s="5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ht="15.75" customHeight="1">
      <c r="A678" s="7"/>
      <c r="B678" s="7"/>
      <c r="C678" s="5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ht="15.75" customHeight="1">
      <c r="A679" s="7"/>
      <c r="B679" s="7"/>
      <c r="C679" s="5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ht="15.75" customHeight="1">
      <c r="A680" s="7"/>
      <c r="B680" s="7"/>
      <c r="C680" s="5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ht="15.75" customHeight="1">
      <c r="A681" s="7"/>
      <c r="B681" s="7"/>
      <c r="C681" s="5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ht="15.75" customHeight="1">
      <c r="A682" s="7"/>
      <c r="B682" s="7"/>
      <c r="C682" s="5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ht="15.75" customHeight="1">
      <c r="A683" s="7"/>
      <c r="B683" s="7"/>
      <c r="C683" s="5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ht="15.75" customHeight="1">
      <c r="A684" s="7"/>
      <c r="B684" s="7"/>
      <c r="C684" s="5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ht="15.75" customHeight="1">
      <c r="A685" s="7"/>
      <c r="B685" s="7"/>
      <c r="C685" s="5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ht="15.75" customHeight="1">
      <c r="A686" s="7"/>
      <c r="B686" s="7"/>
      <c r="C686" s="5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ht="15.75" customHeight="1">
      <c r="A687" s="7"/>
      <c r="B687" s="7"/>
      <c r="C687" s="5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ht="15.75" customHeight="1">
      <c r="A688" s="7"/>
      <c r="B688" s="7"/>
      <c r="C688" s="5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ht="15.75" customHeight="1">
      <c r="A689" s="7"/>
      <c r="B689" s="7"/>
      <c r="C689" s="5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ht="15.75" customHeight="1">
      <c r="A690" s="7"/>
      <c r="B690" s="7"/>
      <c r="C690" s="5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ht="15.75" customHeight="1">
      <c r="A691" s="7"/>
      <c r="B691" s="7"/>
      <c r="C691" s="5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ht="15.75" customHeight="1">
      <c r="A692" s="7"/>
      <c r="B692" s="7"/>
      <c r="C692" s="5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ht="15.75" customHeight="1">
      <c r="A693" s="7"/>
      <c r="B693" s="7"/>
      <c r="C693" s="5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ht="15.75" customHeight="1">
      <c r="A694" s="7"/>
      <c r="B694" s="7"/>
      <c r="C694" s="5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ht="15.75" customHeight="1">
      <c r="A695" s="7"/>
      <c r="B695" s="7"/>
      <c r="C695" s="5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ht="15.75" customHeight="1">
      <c r="A696" s="7"/>
      <c r="B696" s="7"/>
      <c r="C696" s="5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ht="15.75" customHeight="1">
      <c r="A697" s="7"/>
      <c r="B697" s="7"/>
      <c r="C697" s="5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ht="15.75" customHeight="1">
      <c r="A698" s="7"/>
      <c r="B698" s="7"/>
      <c r="C698" s="5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ht="15.75" customHeight="1">
      <c r="A699" s="7"/>
      <c r="B699" s="7"/>
      <c r="C699" s="5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ht="15.75" customHeight="1">
      <c r="A700" s="7"/>
      <c r="B700" s="7"/>
      <c r="C700" s="5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ht="15.75" customHeight="1">
      <c r="A701" s="7"/>
      <c r="B701" s="7"/>
      <c r="C701" s="5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ht="15.75" customHeight="1">
      <c r="A702" s="7"/>
      <c r="B702" s="7"/>
      <c r="C702" s="5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ht="15.75" customHeight="1">
      <c r="A703" s="7"/>
      <c r="B703" s="7"/>
      <c r="C703" s="5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ht="15.75" customHeight="1">
      <c r="A704" s="7"/>
      <c r="B704" s="7"/>
      <c r="C704" s="5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ht="15.75" customHeight="1">
      <c r="A705" s="7"/>
      <c r="B705" s="7"/>
      <c r="C705" s="5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ht="15.75" customHeight="1">
      <c r="A706" s="7"/>
      <c r="B706" s="7"/>
      <c r="C706" s="5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ht="15.75" customHeight="1">
      <c r="A707" s="7"/>
      <c r="B707" s="7"/>
      <c r="C707" s="5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ht="15.75" customHeight="1">
      <c r="A708" s="7"/>
      <c r="B708" s="7"/>
      <c r="C708" s="5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ht="15.75" customHeight="1">
      <c r="A709" s="7"/>
      <c r="B709" s="7"/>
      <c r="C709" s="5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ht="15.75" customHeight="1">
      <c r="A710" s="7"/>
      <c r="B710" s="7"/>
      <c r="C710" s="5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ht="15.75" customHeight="1">
      <c r="A711" s="7"/>
      <c r="B711" s="7"/>
      <c r="C711" s="5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ht="15.75" customHeight="1">
      <c r="A712" s="7"/>
      <c r="B712" s="7"/>
      <c r="C712" s="5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ht="15.75" customHeight="1">
      <c r="A713" s="7"/>
      <c r="B713" s="7"/>
      <c r="C713" s="5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ht="15.75" customHeight="1">
      <c r="A714" s="7"/>
      <c r="B714" s="7"/>
      <c r="C714" s="5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ht="15.75" customHeight="1">
      <c r="A715" s="7"/>
      <c r="B715" s="7"/>
      <c r="C715" s="5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ht="15.75" customHeight="1">
      <c r="A716" s="7"/>
      <c r="B716" s="7"/>
      <c r="C716" s="5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ht="15.75" customHeight="1">
      <c r="A717" s="7"/>
      <c r="B717" s="7"/>
      <c r="C717" s="5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ht="15.75" customHeight="1">
      <c r="A718" s="7"/>
      <c r="B718" s="7"/>
      <c r="C718" s="5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ht="15.75" customHeight="1">
      <c r="A719" s="7"/>
      <c r="B719" s="7"/>
      <c r="C719" s="5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ht="15.75" customHeight="1">
      <c r="A720" s="7"/>
      <c r="B720" s="7"/>
      <c r="C720" s="5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ht="15.75" customHeight="1">
      <c r="A721" s="7"/>
      <c r="B721" s="7"/>
      <c r="C721" s="5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ht="15.75" customHeight="1">
      <c r="A722" s="7"/>
      <c r="B722" s="7"/>
      <c r="C722" s="5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ht="15.75" customHeight="1">
      <c r="A723" s="7"/>
      <c r="B723" s="7"/>
      <c r="C723" s="5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ht="15.75" customHeight="1">
      <c r="A724" s="7"/>
      <c r="B724" s="7"/>
      <c r="C724" s="5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ht="15.75" customHeight="1">
      <c r="A725" s="7"/>
      <c r="B725" s="7"/>
      <c r="C725" s="5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ht="15.75" customHeight="1">
      <c r="A726" s="7"/>
      <c r="B726" s="7"/>
      <c r="C726" s="5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ht="15.75" customHeight="1">
      <c r="A727" s="7"/>
      <c r="B727" s="7"/>
      <c r="C727" s="5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ht="15.75" customHeight="1">
      <c r="A728" s="7"/>
      <c r="B728" s="7"/>
      <c r="C728" s="5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ht="15.75" customHeight="1">
      <c r="A729" s="7"/>
      <c r="B729" s="7"/>
      <c r="C729" s="5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ht="15.75" customHeight="1">
      <c r="A730" s="7"/>
      <c r="B730" s="7"/>
      <c r="C730" s="5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ht="15.75" customHeight="1">
      <c r="A731" s="7"/>
      <c r="B731" s="7"/>
      <c r="C731" s="5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ht="15.75" customHeight="1">
      <c r="A732" s="7"/>
      <c r="B732" s="7"/>
      <c r="C732" s="5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ht="15.75" customHeight="1">
      <c r="A733" s="7"/>
      <c r="B733" s="7"/>
      <c r="C733" s="5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ht="15.75" customHeight="1">
      <c r="A734" s="7"/>
      <c r="B734" s="7"/>
      <c r="C734" s="5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ht="15.75" customHeight="1">
      <c r="A735" s="7"/>
      <c r="B735" s="7"/>
      <c r="C735" s="5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ht="15.75" customHeight="1">
      <c r="A736" s="7"/>
      <c r="B736" s="7"/>
      <c r="C736" s="5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ht="15.75" customHeight="1">
      <c r="A737" s="7"/>
      <c r="B737" s="7"/>
      <c r="C737" s="5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ht="15.75" customHeight="1">
      <c r="A738" s="7"/>
      <c r="B738" s="7"/>
      <c r="C738" s="5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ht="15.75" customHeight="1">
      <c r="A739" s="7"/>
      <c r="B739" s="7"/>
      <c r="C739" s="5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ht="15.75" customHeight="1">
      <c r="A740" s="7"/>
      <c r="B740" s="7"/>
      <c r="C740" s="5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ht="15.75" customHeight="1">
      <c r="A741" s="7"/>
      <c r="B741" s="7"/>
      <c r="C741" s="5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ht="15.75" customHeight="1">
      <c r="A742" s="7"/>
      <c r="B742" s="7"/>
      <c r="C742" s="5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ht="15.75" customHeight="1">
      <c r="A743" s="7"/>
      <c r="B743" s="7"/>
      <c r="C743" s="5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ht="15.75" customHeight="1">
      <c r="A744" s="7"/>
      <c r="B744" s="7"/>
      <c r="C744" s="5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ht="15.75" customHeight="1">
      <c r="A745" s="7"/>
      <c r="B745" s="7"/>
      <c r="C745" s="5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ht="15.75" customHeight="1">
      <c r="A746" s="7"/>
      <c r="B746" s="7"/>
      <c r="C746" s="5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ht="15.75" customHeight="1">
      <c r="A747" s="7"/>
      <c r="B747" s="7"/>
      <c r="C747" s="5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ht="15.75" customHeight="1">
      <c r="A748" s="7"/>
      <c r="B748" s="7"/>
      <c r="C748" s="5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ht="15.75" customHeight="1">
      <c r="A749" s="7"/>
      <c r="B749" s="7"/>
      <c r="C749" s="5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ht="15.75" customHeight="1">
      <c r="A750" s="7"/>
      <c r="B750" s="7"/>
      <c r="C750" s="5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ht="15.75" customHeight="1">
      <c r="A751" s="7"/>
      <c r="B751" s="7"/>
      <c r="C751" s="5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ht="15.75" customHeight="1">
      <c r="A752" s="7"/>
      <c r="B752" s="7"/>
      <c r="C752" s="5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ht="15.75" customHeight="1">
      <c r="A753" s="7"/>
      <c r="B753" s="7"/>
      <c r="C753" s="5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ht="15.75" customHeight="1">
      <c r="A754" s="7"/>
      <c r="B754" s="7"/>
      <c r="C754" s="5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ht="15.75" customHeight="1">
      <c r="A755" s="7"/>
      <c r="B755" s="7"/>
      <c r="C755" s="5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ht="15.75" customHeight="1">
      <c r="A756" s="7"/>
      <c r="B756" s="7"/>
      <c r="C756" s="5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ht="15.75" customHeight="1">
      <c r="A757" s="7"/>
      <c r="B757" s="7"/>
      <c r="C757" s="5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ht="15.75" customHeight="1">
      <c r="A758" s="7"/>
      <c r="B758" s="7"/>
      <c r="C758" s="5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ht="15.75" customHeight="1">
      <c r="A759" s="7"/>
      <c r="B759" s="7"/>
      <c r="C759" s="5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ht="15.75" customHeight="1">
      <c r="A760" s="7"/>
      <c r="B760" s="7"/>
      <c r="C760" s="5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ht="15.75" customHeight="1">
      <c r="A761" s="7"/>
      <c r="B761" s="7"/>
      <c r="C761" s="5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ht="15.75" customHeight="1">
      <c r="A762" s="7"/>
      <c r="B762" s="7"/>
      <c r="C762" s="5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ht="15.75" customHeight="1">
      <c r="A763" s="7"/>
      <c r="B763" s="7"/>
      <c r="C763" s="5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ht="15.75" customHeight="1">
      <c r="A764" s="7"/>
      <c r="B764" s="7"/>
      <c r="C764" s="5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ht="15.75" customHeight="1">
      <c r="A765" s="7"/>
      <c r="B765" s="7"/>
      <c r="C765" s="5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ht="15.75" customHeight="1">
      <c r="A766" s="7"/>
      <c r="B766" s="7"/>
      <c r="C766" s="5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ht="15.75" customHeight="1">
      <c r="A767" s="7"/>
      <c r="B767" s="7"/>
      <c r="C767" s="5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ht="15.75" customHeight="1">
      <c r="A768" s="7"/>
      <c r="B768" s="7"/>
      <c r="C768" s="5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ht="15.75" customHeight="1">
      <c r="A769" s="7"/>
      <c r="B769" s="7"/>
      <c r="C769" s="5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ht="15.75" customHeight="1">
      <c r="A770" s="7"/>
      <c r="B770" s="7"/>
      <c r="C770" s="5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ht="15.75" customHeight="1">
      <c r="A771" s="7"/>
      <c r="B771" s="7"/>
      <c r="C771" s="5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ht="15.75" customHeight="1">
      <c r="A772" s="7"/>
      <c r="B772" s="7"/>
      <c r="C772" s="5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ht="15.75" customHeight="1">
      <c r="A773" s="7"/>
      <c r="B773" s="7"/>
      <c r="C773" s="5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ht="15.75" customHeight="1">
      <c r="A774" s="7"/>
      <c r="B774" s="7"/>
      <c r="C774" s="5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ht="15.75" customHeight="1">
      <c r="A775" s="7"/>
      <c r="B775" s="7"/>
      <c r="C775" s="5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ht="15.75" customHeight="1">
      <c r="A776" s="7"/>
      <c r="B776" s="7"/>
      <c r="C776" s="5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ht="15.75" customHeight="1">
      <c r="A777" s="7"/>
      <c r="B777" s="7"/>
      <c r="C777" s="5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ht="15.75" customHeight="1">
      <c r="A778" s="7"/>
      <c r="B778" s="7"/>
      <c r="C778" s="5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ht="15.75" customHeight="1">
      <c r="A779" s="7"/>
      <c r="B779" s="7"/>
      <c r="C779" s="5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ht="15.75" customHeight="1">
      <c r="A780" s="7"/>
      <c r="B780" s="7"/>
      <c r="C780" s="5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ht="15.75" customHeight="1">
      <c r="A781" s="7"/>
      <c r="B781" s="7"/>
      <c r="C781" s="5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ht="15.75" customHeight="1">
      <c r="A782" s="7"/>
      <c r="B782" s="7"/>
      <c r="C782" s="5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ht="15.75" customHeight="1">
      <c r="A783" s="7"/>
      <c r="B783" s="7"/>
      <c r="C783" s="5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ht="15.75" customHeight="1">
      <c r="A784" s="7"/>
      <c r="B784" s="7"/>
      <c r="C784" s="5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ht="15.75" customHeight="1">
      <c r="A785" s="7"/>
      <c r="B785" s="7"/>
      <c r="C785" s="5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ht="15.75" customHeight="1">
      <c r="A786" s="7"/>
      <c r="B786" s="7"/>
      <c r="C786" s="5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ht="15.75" customHeight="1">
      <c r="A787" s="7"/>
      <c r="B787" s="7"/>
      <c r="C787" s="5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ht="15.75" customHeight="1">
      <c r="A788" s="7"/>
      <c r="B788" s="7"/>
      <c r="C788" s="5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ht="15.75" customHeight="1">
      <c r="A789" s="7"/>
      <c r="B789" s="7"/>
      <c r="C789" s="5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ht="15.75" customHeight="1">
      <c r="A790" s="7"/>
      <c r="B790" s="7"/>
      <c r="C790" s="5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ht="15.75" customHeight="1">
      <c r="A791" s="7"/>
      <c r="B791" s="7"/>
      <c r="C791" s="5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ht="15.75" customHeight="1">
      <c r="A792" s="7"/>
      <c r="B792" s="7"/>
      <c r="C792" s="5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ht="15.75" customHeight="1">
      <c r="A793" s="7"/>
      <c r="B793" s="7"/>
      <c r="C793" s="5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ht="15.75" customHeight="1">
      <c r="A794" s="7"/>
      <c r="B794" s="7"/>
      <c r="C794" s="5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ht="15.75" customHeight="1">
      <c r="A795" s="7"/>
      <c r="B795" s="7"/>
      <c r="C795" s="5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ht="15.75" customHeight="1">
      <c r="A796" s="7"/>
      <c r="B796" s="7"/>
      <c r="C796" s="5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ht="15.75" customHeight="1">
      <c r="A797" s="7"/>
      <c r="B797" s="7"/>
      <c r="C797" s="5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ht="15.75" customHeight="1">
      <c r="A798" s="7"/>
      <c r="B798" s="7"/>
      <c r="C798" s="5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ht="15.75" customHeight="1">
      <c r="A799" s="7"/>
      <c r="B799" s="7"/>
      <c r="C799" s="5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ht="15.75" customHeight="1">
      <c r="A800" s="7"/>
      <c r="B800" s="7"/>
      <c r="C800" s="5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ht="15.75" customHeight="1">
      <c r="A801" s="7"/>
      <c r="B801" s="7"/>
      <c r="C801" s="5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ht="15.75" customHeight="1">
      <c r="A802" s="7"/>
      <c r="B802" s="7"/>
      <c r="C802" s="5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ht="15.75" customHeight="1">
      <c r="A803" s="7"/>
      <c r="B803" s="7"/>
      <c r="C803" s="5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ht="15.75" customHeight="1">
      <c r="A804" s="7"/>
      <c r="B804" s="7"/>
      <c r="C804" s="5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ht="15.75" customHeight="1">
      <c r="A805" s="7"/>
      <c r="B805" s="7"/>
      <c r="C805" s="5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ht="15.75" customHeight="1">
      <c r="A806" s="7"/>
      <c r="B806" s="7"/>
      <c r="C806" s="5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ht="15.75" customHeight="1">
      <c r="A807" s="7"/>
      <c r="B807" s="7"/>
      <c r="C807" s="5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ht="15.75" customHeight="1">
      <c r="A808" s="7"/>
      <c r="B808" s="7"/>
      <c r="C808" s="5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ht="15.75" customHeight="1">
      <c r="A809" s="7"/>
      <c r="B809" s="7"/>
      <c r="C809" s="5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ht="15.75" customHeight="1">
      <c r="A810" s="7"/>
      <c r="B810" s="7"/>
      <c r="C810" s="5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ht="15.75" customHeight="1">
      <c r="A811" s="7"/>
      <c r="B811" s="7"/>
      <c r="C811" s="5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ht="15.75" customHeight="1">
      <c r="A812" s="7"/>
      <c r="B812" s="7"/>
      <c r="C812" s="5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ht="15.75" customHeight="1">
      <c r="A813" s="7"/>
      <c r="B813" s="7"/>
      <c r="C813" s="5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ht="15.75" customHeight="1">
      <c r="A814" s="7"/>
      <c r="B814" s="7"/>
      <c r="C814" s="5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ht="15.75" customHeight="1">
      <c r="A815" s="7"/>
      <c r="B815" s="7"/>
      <c r="C815" s="5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ht="15.75" customHeight="1">
      <c r="A816" s="7"/>
      <c r="B816" s="7"/>
      <c r="C816" s="5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ht="15.75" customHeight="1">
      <c r="A817" s="7"/>
      <c r="B817" s="7"/>
      <c r="C817" s="5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ht="15.75" customHeight="1">
      <c r="A818" s="7"/>
      <c r="B818" s="7"/>
      <c r="C818" s="5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ht="15.75" customHeight="1">
      <c r="A819" s="7"/>
      <c r="B819" s="7"/>
      <c r="C819" s="5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ht="15.75" customHeight="1">
      <c r="A820" s="7"/>
      <c r="B820" s="7"/>
      <c r="C820" s="5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ht="15.75" customHeight="1">
      <c r="A821" s="7"/>
      <c r="B821" s="7"/>
      <c r="C821" s="5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ht="15.75" customHeight="1">
      <c r="A822" s="7"/>
      <c r="B822" s="7"/>
      <c r="C822" s="5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ht="15.75" customHeight="1">
      <c r="A823" s="7"/>
      <c r="B823" s="7"/>
      <c r="C823" s="5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ht="15.75" customHeight="1">
      <c r="A824" s="7"/>
      <c r="B824" s="7"/>
      <c r="C824" s="5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ht="15.75" customHeight="1">
      <c r="A825" s="7"/>
      <c r="B825" s="7"/>
      <c r="C825" s="5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ht="15.75" customHeight="1">
      <c r="A826" s="7"/>
      <c r="B826" s="7"/>
      <c r="C826" s="5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ht="15.75" customHeight="1">
      <c r="A827" s="7"/>
      <c r="B827" s="7"/>
      <c r="C827" s="5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ht="15.75" customHeight="1">
      <c r="A828" s="7"/>
      <c r="B828" s="7"/>
      <c r="C828" s="5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ht="15.75" customHeight="1">
      <c r="A829" s="7"/>
      <c r="B829" s="7"/>
      <c r="C829" s="5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ht="15.75" customHeight="1">
      <c r="A830" s="7"/>
      <c r="B830" s="7"/>
      <c r="C830" s="5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ht="15.75" customHeight="1">
      <c r="A831" s="7"/>
      <c r="B831" s="7"/>
      <c r="C831" s="5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ht="15.75" customHeight="1">
      <c r="A832" s="7"/>
      <c r="B832" s="7"/>
      <c r="C832" s="5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ht="15.75" customHeight="1">
      <c r="A833" s="7"/>
      <c r="B833" s="7"/>
      <c r="C833" s="5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ht="15.75" customHeight="1">
      <c r="A834" s="7"/>
      <c r="B834" s="7"/>
      <c r="C834" s="5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ht="15.75" customHeight="1">
      <c r="A835" s="7"/>
      <c r="B835" s="7"/>
      <c r="C835" s="5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ht="15.75" customHeight="1">
      <c r="A836" s="7"/>
      <c r="B836" s="7"/>
      <c r="C836" s="5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ht="15.75" customHeight="1">
      <c r="A837" s="7"/>
      <c r="B837" s="7"/>
      <c r="C837" s="5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ht="15.75" customHeight="1">
      <c r="A838" s="7"/>
      <c r="B838" s="7"/>
      <c r="C838" s="5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ht="15.75" customHeight="1">
      <c r="A839" s="7"/>
      <c r="B839" s="7"/>
      <c r="C839" s="5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ht="15.75" customHeight="1">
      <c r="A840" s="7"/>
      <c r="B840" s="7"/>
      <c r="C840" s="5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ht="15.75" customHeight="1">
      <c r="A841" s="7"/>
      <c r="B841" s="7"/>
      <c r="C841" s="5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ht="15.75" customHeight="1">
      <c r="A842" s="7"/>
      <c r="B842" s="7"/>
      <c r="C842" s="5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ht="15.75" customHeight="1">
      <c r="A843" s="7"/>
      <c r="B843" s="7"/>
      <c r="C843" s="5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ht="15.75" customHeight="1">
      <c r="A844" s="7"/>
      <c r="B844" s="7"/>
      <c r="C844" s="5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ht="15.75" customHeight="1">
      <c r="A845" s="7"/>
      <c r="B845" s="7"/>
      <c r="C845" s="5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ht="15.75" customHeight="1">
      <c r="A846" s="7"/>
      <c r="B846" s="7"/>
      <c r="C846" s="5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ht="15.75" customHeight="1">
      <c r="A847" s="7"/>
      <c r="B847" s="7"/>
      <c r="C847" s="5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ht="15.75" customHeight="1">
      <c r="A848" s="7"/>
      <c r="B848" s="7"/>
      <c r="C848" s="5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ht="15.75" customHeight="1">
      <c r="A849" s="7"/>
      <c r="B849" s="7"/>
      <c r="C849" s="5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ht="15.75" customHeight="1">
      <c r="A850" s="7"/>
      <c r="B850" s="7"/>
      <c r="C850" s="5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ht="15.75" customHeight="1">
      <c r="A851" s="7"/>
      <c r="B851" s="7"/>
      <c r="C851" s="5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ht="15.75" customHeight="1">
      <c r="A852" s="7"/>
      <c r="B852" s="7"/>
      <c r="C852" s="5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ht="15.75" customHeight="1">
      <c r="A853" s="7"/>
      <c r="B853" s="7"/>
      <c r="C853" s="5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ht="15.75" customHeight="1">
      <c r="A854" s="7"/>
      <c r="B854" s="7"/>
      <c r="C854" s="5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ht="15.75" customHeight="1">
      <c r="A855" s="7"/>
      <c r="B855" s="7"/>
      <c r="C855" s="5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ht="15.75" customHeight="1">
      <c r="A856" s="7"/>
      <c r="B856" s="7"/>
      <c r="C856" s="5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ht="15.75" customHeight="1">
      <c r="A857" s="7"/>
      <c r="B857" s="7"/>
      <c r="C857" s="5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ht="15.75" customHeight="1">
      <c r="A858" s="7"/>
      <c r="B858" s="7"/>
      <c r="C858" s="5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ht="15.75" customHeight="1">
      <c r="A859" s="7"/>
      <c r="B859" s="7"/>
      <c r="C859" s="5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ht="15.75" customHeight="1">
      <c r="A860" s="7"/>
      <c r="B860" s="7"/>
      <c r="C860" s="5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ht="15.75" customHeight="1">
      <c r="A861" s="7"/>
      <c r="B861" s="7"/>
      <c r="C861" s="5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ht="15.75" customHeight="1">
      <c r="A862" s="7"/>
      <c r="B862" s="7"/>
      <c r="C862" s="5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ht="15.75" customHeight="1">
      <c r="A863" s="7"/>
      <c r="B863" s="7"/>
      <c r="C863" s="5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ht="15.75" customHeight="1">
      <c r="A864" s="7"/>
      <c r="B864" s="7"/>
      <c r="C864" s="5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ht="15.75" customHeight="1">
      <c r="A865" s="7"/>
      <c r="B865" s="7"/>
      <c r="C865" s="5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ht="15.75" customHeight="1">
      <c r="A866" s="7"/>
      <c r="B866" s="7"/>
      <c r="C866" s="5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ht="15.75" customHeight="1">
      <c r="A867" s="7"/>
      <c r="B867" s="7"/>
      <c r="C867" s="5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ht="15.75" customHeight="1">
      <c r="A868" s="7"/>
      <c r="B868" s="7"/>
      <c r="C868" s="5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ht="15.75" customHeight="1">
      <c r="A869" s="7"/>
      <c r="B869" s="7"/>
      <c r="C869" s="5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ht="15.75" customHeight="1">
      <c r="A870" s="7"/>
      <c r="B870" s="7"/>
      <c r="C870" s="5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ht="15.75" customHeight="1">
      <c r="A871" s="7"/>
      <c r="B871" s="7"/>
      <c r="C871" s="5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ht="15.75" customHeight="1">
      <c r="A872" s="7"/>
      <c r="B872" s="7"/>
      <c r="C872" s="5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ht="15.75" customHeight="1">
      <c r="A873" s="7"/>
      <c r="B873" s="7"/>
      <c r="C873" s="5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ht="15.75" customHeight="1">
      <c r="A874" s="7"/>
      <c r="B874" s="7"/>
      <c r="C874" s="5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ht="15.75" customHeight="1">
      <c r="A875" s="7"/>
      <c r="B875" s="7"/>
      <c r="C875" s="5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ht="15.75" customHeight="1">
      <c r="A876" s="7"/>
      <c r="B876" s="7"/>
      <c r="C876" s="5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ht="15.75" customHeight="1">
      <c r="A877" s="7"/>
      <c r="B877" s="7"/>
      <c r="C877" s="5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ht="15.75" customHeight="1">
      <c r="A878" s="7"/>
      <c r="B878" s="7"/>
      <c r="C878" s="5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ht="15.75" customHeight="1">
      <c r="A879" s="7"/>
      <c r="B879" s="7"/>
      <c r="C879" s="5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ht="15.75" customHeight="1">
      <c r="A880" s="7"/>
      <c r="B880" s="7"/>
      <c r="C880" s="5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ht="15.75" customHeight="1">
      <c r="A881" s="7"/>
      <c r="B881" s="7"/>
      <c r="C881" s="5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ht="15.75" customHeight="1">
      <c r="A882" s="7"/>
      <c r="B882" s="7"/>
      <c r="C882" s="5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ht="15.75" customHeight="1">
      <c r="A883" s="7"/>
      <c r="B883" s="7"/>
      <c r="C883" s="5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ht="15.75" customHeight="1">
      <c r="A884" s="7"/>
      <c r="B884" s="7"/>
      <c r="C884" s="5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ht="15.75" customHeight="1">
      <c r="A885" s="7"/>
      <c r="B885" s="7"/>
      <c r="C885" s="5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ht="15.75" customHeight="1">
      <c r="A886" s="7"/>
      <c r="B886" s="7"/>
      <c r="C886" s="5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ht="15.75" customHeight="1">
      <c r="A887" s="7"/>
      <c r="B887" s="7"/>
      <c r="C887" s="5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ht="15.75" customHeight="1">
      <c r="A888" s="7"/>
      <c r="B888" s="7"/>
      <c r="C888" s="5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ht="15.75" customHeight="1">
      <c r="A889" s="7"/>
      <c r="B889" s="7"/>
      <c r="C889" s="5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ht="15.75" customHeight="1">
      <c r="A890" s="7"/>
      <c r="B890" s="7"/>
      <c r="C890" s="5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ht="15.75" customHeight="1">
      <c r="A891" s="7"/>
      <c r="B891" s="7"/>
      <c r="C891" s="5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ht="15.75" customHeight="1">
      <c r="A892" s="7"/>
      <c r="B892" s="7"/>
      <c r="C892" s="5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ht="15.75" customHeight="1">
      <c r="A893" s="7"/>
      <c r="B893" s="7"/>
      <c r="C893" s="5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ht="15.75" customHeight="1">
      <c r="A894" s="7"/>
      <c r="B894" s="7"/>
      <c r="C894" s="5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ht="15.75" customHeight="1">
      <c r="A895" s="7"/>
      <c r="B895" s="7"/>
      <c r="C895" s="5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ht="15.75" customHeight="1">
      <c r="A896" s="7"/>
      <c r="B896" s="7"/>
      <c r="C896" s="5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ht="15.75" customHeight="1">
      <c r="A897" s="7"/>
      <c r="B897" s="7"/>
      <c r="C897" s="5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ht="15.75" customHeight="1">
      <c r="A898" s="7"/>
      <c r="B898" s="7"/>
      <c r="C898" s="5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ht="15.75" customHeight="1">
      <c r="A899" s="7"/>
      <c r="B899" s="7"/>
      <c r="C899" s="5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ht="15.75" customHeight="1">
      <c r="A900" s="7"/>
      <c r="B900" s="7"/>
      <c r="C900" s="5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ht="15.75" customHeight="1">
      <c r="A901" s="7"/>
      <c r="B901" s="7"/>
      <c r="C901" s="5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ht="15.75" customHeight="1">
      <c r="A902" s="7"/>
      <c r="B902" s="7"/>
      <c r="C902" s="5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ht="15.75" customHeight="1">
      <c r="A903" s="7"/>
      <c r="B903" s="7"/>
      <c r="C903" s="5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ht="15.75" customHeight="1">
      <c r="A904" s="7"/>
      <c r="B904" s="7"/>
      <c r="C904" s="5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ht="15.75" customHeight="1">
      <c r="A905" s="7"/>
      <c r="B905" s="7"/>
      <c r="C905" s="5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ht="15.75" customHeight="1">
      <c r="A906" s="7"/>
      <c r="B906" s="7"/>
      <c r="C906" s="5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ht="15.75" customHeight="1">
      <c r="A907" s="7"/>
      <c r="B907" s="7"/>
      <c r="C907" s="5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ht="15.75" customHeight="1">
      <c r="A908" s="7"/>
      <c r="B908" s="7"/>
      <c r="C908" s="5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ht="15.75" customHeight="1">
      <c r="A909" s="7"/>
      <c r="B909" s="7"/>
      <c r="C909" s="5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ht="15.75" customHeight="1">
      <c r="A910" s="7"/>
      <c r="B910" s="7"/>
      <c r="C910" s="5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ht="15.75" customHeight="1">
      <c r="A911" s="7"/>
      <c r="B911" s="7"/>
      <c r="C911" s="5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ht="15.75" customHeight="1">
      <c r="A912" s="7"/>
      <c r="B912" s="7"/>
      <c r="C912" s="5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ht="15.75" customHeight="1">
      <c r="A913" s="7"/>
      <c r="B913" s="7"/>
      <c r="C913" s="5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ht="15.75" customHeight="1">
      <c r="A914" s="7"/>
      <c r="B914" s="7"/>
      <c r="C914" s="5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ht="15.75" customHeight="1">
      <c r="A915" s="7"/>
      <c r="B915" s="7"/>
      <c r="C915" s="5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ht="15.75" customHeight="1">
      <c r="A916" s="7"/>
      <c r="B916" s="7"/>
      <c r="C916" s="5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ht="15.75" customHeight="1">
      <c r="A917" s="7"/>
      <c r="B917" s="7"/>
      <c r="C917" s="5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ht="15.75" customHeight="1">
      <c r="A918" s="7"/>
      <c r="B918" s="7"/>
      <c r="C918" s="5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ht="15.75" customHeight="1">
      <c r="A919" s="7"/>
      <c r="B919" s="7"/>
      <c r="C919" s="5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ht="15.75" customHeight="1">
      <c r="A920" s="7"/>
      <c r="B920" s="7"/>
      <c r="C920" s="5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ht="15.75" customHeight="1">
      <c r="A921" s="7"/>
      <c r="B921" s="7"/>
      <c r="C921" s="5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ht="15.75" customHeight="1">
      <c r="A922" s="7"/>
      <c r="B922" s="7"/>
      <c r="C922" s="5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ht="15.75" customHeight="1">
      <c r="A923" s="7"/>
      <c r="B923" s="7"/>
      <c r="C923" s="5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ht="15.75" customHeight="1">
      <c r="A924" s="7"/>
      <c r="B924" s="7"/>
      <c r="C924" s="5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ht="15.75" customHeight="1">
      <c r="A925" s="7"/>
      <c r="B925" s="7"/>
      <c r="C925" s="5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ht="15.75" customHeight="1">
      <c r="A926" s="7"/>
      <c r="B926" s="7"/>
      <c r="C926" s="5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ht="15.75" customHeight="1">
      <c r="A927" s="7"/>
      <c r="B927" s="7"/>
      <c r="C927" s="5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ht="15.75" customHeight="1">
      <c r="A928" s="7"/>
      <c r="B928" s="7"/>
      <c r="C928" s="5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ht="15.75" customHeight="1">
      <c r="A929" s="7"/>
      <c r="B929" s="7"/>
      <c r="C929" s="5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ht="15.75" customHeight="1">
      <c r="A930" s="7"/>
      <c r="B930" s="7"/>
      <c r="C930" s="5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ht="15.75" customHeight="1">
      <c r="A931" s="7"/>
      <c r="B931" s="7"/>
      <c r="C931" s="5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ht="15.75" customHeight="1">
      <c r="A932" s="7"/>
      <c r="B932" s="7"/>
      <c r="C932" s="5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ht="15.75" customHeight="1">
      <c r="A933" s="7"/>
      <c r="B933" s="7"/>
      <c r="C933" s="5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ht="15.75" customHeight="1">
      <c r="A934" s="7"/>
      <c r="B934" s="7"/>
      <c r="C934" s="5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ht="15.75" customHeight="1">
      <c r="A935" s="7"/>
      <c r="B935" s="7"/>
      <c r="C935" s="5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ht="15.75" customHeight="1">
      <c r="A936" s="7"/>
      <c r="B936" s="7"/>
      <c r="C936" s="5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ht="15.75" customHeight="1">
      <c r="A937" s="7"/>
      <c r="B937" s="7"/>
      <c r="C937" s="5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ht="15.75" customHeight="1">
      <c r="A938" s="7"/>
      <c r="B938" s="7"/>
      <c r="C938" s="5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ht="15.75" customHeight="1">
      <c r="A939" s="7"/>
      <c r="B939" s="7"/>
      <c r="C939" s="5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ht="15.75" customHeight="1">
      <c r="A940" s="7"/>
      <c r="B940" s="7"/>
      <c r="C940" s="5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ht="15.75" customHeight="1">
      <c r="A941" s="7"/>
      <c r="B941" s="7"/>
      <c r="C941" s="5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ht="15.75" customHeight="1">
      <c r="A942" s="7"/>
      <c r="B942" s="7"/>
      <c r="C942" s="5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ht="15.75" customHeight="1">
      <c r="A943" s="7"/>
      <c r="B943" s="7"/>
      <c r="C943" s="5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ht="15.75" customHeight="1">
      <c r="A944" s="7"/>
      <c r="B944" s="7"/>
      <c r="C944" s="5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ht="15.75" customHeight="1">
      <c r="A945" s="7"/>
      <c r="B945" s="7"/>
      <c r="C945" s="5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ht="15.75" customHeight="1">
      <c r="A946" s="7"/>
      <c r="B946" s="7"/>
      <c r="C946" s="5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ht="15.75" customHeight="1">
      <c r="A947" s="7"/>
      <c r="B947" s="7"/>
      <c r="C947" s="5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ht="15.75" customHeight="1">
      <c r="A948" s="7"/>
      <c r="B948" s="7"/>
      <c r="C948" s="5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ht="15.75" customHeight="1">
      <c r="A949" s="7"/>
      <c r="B949" s="7"/>
      <c r="C949" s="5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ht="15.75" customHeight="1">
      <c r="A950" s="7"/>
      <c r="B950" s="7"/>
      <c r="C950" s="5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ht="15.75" customHeight="1">
      <c r="A951" s="7"/>
      <c r="B951" s="7"/>
      <c r="C951" s="5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ht="15.75" customHeight="1">
      <c r="A952" s="7"/>
      <c r="B952" s="7"/>
      <c r="C952" s="5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ht="15.75" customHeight="1">
      <c r="A953" s="7"/>
      <c r="B953" s="7"/>
      <c r="C953" s="5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ht="15.75" customHeight="1">
      <c r="A954" s="7"/>
      <c r="B954" s="7"/>
      <c r="C954" s="5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ht="15.75" customHeight="1">
      <c r="A955" s="7"/>
      <c r="B955" s="7"/>
      <c r="C955" s="5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ht="15.75" customHeight="1">
      <c r="A956" s="7"/>
      <c r="B956" s="7"/>
      <c r="C956" s="5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ht="15.75" customHeight="1">
      <c r="A957" s="7"/>
      <c r="B957" s="7"/>
      <c r="C957" s="5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ht="15.75" customHeight="1">
      <c r="A958" s="7"/>
      <c r="B958" s="7"/>
      <c r="C958" s="5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ht="15.75" customHeight="1">
      <c r="A959" s="7"/>
      <c r="B959" s="7"/>
      <c r="C959" s="5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ht="15.75" customHeight="1">
      <c r="A960" s="7"/>
      <c r="B960" s="7"/>
      <c r="C960" s="5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ht="15.75" customHeight="1">
      <c r="A961" s="7"/>
      <c r="B961" s="7"/>
      <c r="C961" s="5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ht="15.75" customHeight="1">
      <c r="A962" s="7"/>
      <c r="B962" s="7"/>
      <c r="C962" s="5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ht="15.75" customHeight="1">
      <c r="A963" s="7"/>
      <c r="B963" s="7"/>
      <c r="C963" s="5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ht="15.75" customHeight="1">
      <c r="A964" s="7"/>
      <c r="B964" s="7"/>
      <c r="C964" s="5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ht="15.75" customHeight="1">
      <c r="A965" s="7"/>
      <c r="B965" s="7"/>
      <c r="C965" s="5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ht="15.75" customHeight="1">
      <c r="A966" s="7"/>
      <c r="B966" s="7"/>
      <c r="C966" s="5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ht="15.75" customHeight="1">
      <c r="A967" s="7"/>
      <c r="B967" s="7"/>
      <c r="C967" s="5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ht="15.75" customHeight="1">
      <c r="A968" s="7"/>
      <c r="B968" s="7"/>
      <c r="C968" s="5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ht="15.75" customHeight="1">
      <c r="A969" s="7"/>
      <c r="B969" s="7"/>
      <c r="C969" s="5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ht="15.75" customHeight="1">
      <c r="A970" s="7"/>
      <c r="B970" s="7"/>
      <c r="C970" s="5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ht="15.75" customHeight="1">
      <c r="A971" s="7"/>
      <c r="B971" s="7"/>
      <c r="C971" s="5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ht="15.75" customHeight="1">
      <c r="A972" s="7"/>
      <c r="B972" s="7"/>
      <c r="C972" s="5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ht="15.75" customHeight="1">
      <c r="A973" s="7"/>
      <c r="B973" s="7"/>
      <c r="C973" s="5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ht="15.75" customHeight="1">
      <c r="A974" s="7"/>
      <c r="B974" s="7"/>
      <c r="C974" s="5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ht="15.75" customHeight="1">
      <c r="A975" s="7"/>
      <c r="B975" s="7"/>
      <c r="C975" s="5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ht="15.75" customHeight="1">
      <c r="A976" s="7"/>
      <c r="B976" s="7"/>
      <c r="C976" s="5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ht="15.75" customHeight="1">
      <c r="A977" s="7"/>
      <c r="B977" s="7"/>
      <c r="C977" s="5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ht="15.75" customHeight="1">
      <c r="A978" s="7"/>
      <c r="B978" s="7"/>
      <c r="C978" s="5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ht="15.75" customHeight="1">
      <c r="A979" s="7"/>
      <c r="B979" s="7"/>
      <c r="C979" s="5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ht="15.75" customHeight="1">
      <c r="A980" s="7"/>
      <c r="B980" s="7"/>
      <c r="C980" s="5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ht="15.75" customHeight="1">
      <c r="A981" s="7"/>
      <c r="B981" s="7"/>
      <c r="C981" s="5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ht="15.75" customHeight="1">
      <c r="A982" s="7"/>
      <c r="B982" s="7"/>
      <c r="C982" s="5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ht="15.75" customHeight="1">
      <c r="A983" s="7"/>
      <c r="B983" s="7"/>
      <c r="C983" s="5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ht="15.75" customHeight="1">
      <c r="A984" s="7"/>
      <c r="B984" s="7"/>
      <c r="C984" s="5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ht="15.75" customHeight="1">
      <c r="A985" s="7"/>
      <c r="B985" s="7"/>
      <c r="C985" s="5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ht="15.75" customHeight="1">
      <c r="A986" s="7"/>
      <c r="B986" s="7"/>
      <c r="C986" s="5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ht="15.75" customHeight="1">
      <c r="A987" s="7"/>
      <c r="B987" s="7"/>
      <c r="C987" s="5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ht="15.75" customHeight="1">
      <c r="A988" s="7"/>
      <c r="B988" s="7"/>
      <c r="C988" s="5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ht="15.75" customHeight="1">
      <c r="A989" s="7"/>
      <c r="B989" s="7"/>
      <c r="C989" s="5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ht="15.75" customHeight="1">
      <c r="A990" s="7"/>
      <c r="B990" s="7"/>
      <c r="C990" s="5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ht="15.75" customHeight="1">
      <c r="A991" s="7"/>
      <c r="B991" s="7"/>
      <c r="C991" s="5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ht="15.75" customHeight="1">
      <c r="A992" s="7"/>
      <c r="B992" s="7"/>
      <c r="C992" s="5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ht="15.75" customHeight="1">
      <c r="A993" s="7"/>
      <c r="B993" s="7"/>
      <c r="C993" s="5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ht="15.75" customHeight="1">
      <c r="A994" s="7"/>
      <c r="B994" s="7"/>
      <c r="C994" s="5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ht="15.75" customHeight="1">
      <c r="A995" s="7"/>
      <c r="B995" s="7"/>
      <c r="C995" s="5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ht="15.75" customHeight="1">
      <c r="A996" s="7"/>
      <c r="B996" s="7"/>
      <c r="C996" s="5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ht="15.75" customHeight="1">
      <c r="A997" s="7"/>
      <c r="B997" s="7"/>
      <c r="C997" s="5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ht="15.75" customHeight="1">
      <c r="A998" s="7"/>
      <c r="B998" s="7"/>
      <c r="C998" s="5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ht="15.75" customHeight="1">
      <c r="A999" s="7"/>
      <c r="B999" s="7"/>
      <c r="C999" s="5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ht="15.75" customHeight="1">
      <c r="A1000" s="7"/>
      <c r="B1000" s="7"/>
      <c r="C1000" s="5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</sheetData>
  <dataValidations>
    <dataValidation type="list" allowBlank="1" showInputMessage="1" showErrorMessage="1" prompt="Vocabulario controlado - Valor fora do vocabulario controlado. Use a lista suspensa." sqref="AH2:AH1000">
      <formula1>Listas!$J$2:$J$5</formula1>
    </dataValidation>
    <dataValidation type="list" allowBlank="1" showInputMessage="1" showErrorMessage="1" prompt="Vocabulario controlado - Valor fora do vocabulario controlado. Use a lista suspensa." sqref="B2:B1000">
      <formula1>Listas!$M$2:$M$4</formula1>
    </dataValidation>
    <dataValidation type="list" allowBlank="1" showInputMessage="1" showErrorMessage="1" prompt="Vocabulario controlado - Valor fora do vocabulario controlado. Use a lista suspensa." sqref="P2:P1000">
      <formula1>Listas!$C$2:$C$10</formula1>
    </dataValidation>
    <dataValidation type="list" allowBlank="1" showInputMessage="1" showErrorMessage="1" prompt="Vocabulario controlado - Valor fora do vocabulario controlado. Use a lista suspensa." sqref="AE2:AE1000">
      <formula1>Listas!$G$2:$G$13</formula1>
    </dataValidation>
  </dataValidations>
  <hyperlinks>
    <hyperlink r:id="rId1" ref="L6"/>
    <hyperlink r:id="rId2" ref="L39"/>
    <hyperlink r:id="rId3" ref="L40"/>
    <hyperlink r:id="rId4" ref="L42"/>
  </hyperlinks>
  <printOptions/>
  <pageMargins bottom="1.0" footer="0.0" header="0.0" left="0.75" right="0.75" top="1.0"/>
  <pageSetup paperSize="9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71"/>
    <col customWidth="1" min="3" max="3" width="24.0"/>
    <col customWidth="1" min="4" max="4" width="33.71"/>
    <col customWidth="1" min="5" max="5" width="33.57"/>
    <col customWidth="1" min="6" max="6" width="20.0"/>
    <col customWidth="1" min="7" max="7" width="29.57"/>
    <col customWidth="1" min="8" max="8" width="43.14"/>
    <col customWidth="1" min="9" max="9" width="14.57"/>
    <col customWidth="1" min="10" max="10" width="21.14"/>
    <col customWidth="1" min="11" max="12" width="14.0"/>
    <col customWidth="1" min="13" max="13" width="6.0"/>
    <col customWidth="1" min="14" max="14" width="18.0"/>
    <col customWidth="1" min="15" max="15" width="22.0"/>
    <col customWidth="1" min="16" max="16" width="14.43"/>
    <col customWidth="1" min="17" max="17" width="14.14"/>
    <col customWidth="1" min="18" max="18" width="15.14"/>
    <col customWidth="1" min="19" max="19" width="28.43"/>
    <col customWidth="1" min="20" max="20" width="20.0"/>
    <col customWidth="1" min="21" max="21" width="16.0"/>
    <col customWidth="1" min="22" max="22" width="30.0"/>
    <col customWidth="1" min="23" max="26" width="8.71"/>
  </cols>
  <sheetData>
    <row r="1" ht="31.5" customHeight="1">
      <c r="A1" s="11" t="s">
        <v>169</v>
      </c>
      <c r="B1" s="11" t="s">
        <v>211</v>
      </c>
      <c r="C1" s="11" t="s">
        <v>4</v>
      </c>
      <c r="D1" s="11" t="s">
        <v>222</v>
      </c>
      <c r="E1" s="11" t="s">
        <v>49</v>
      </c>
      <c r="F1" s="11" t="s">
        <v>33</v>
      </c>
      <c r="G1" s="11" t="s">
        <v>0</v>
      </c>
      <c r="H1" s="11" t="s">
        <v>237</v>
      </c>
      <c r="I1" s="11" t="s">
        <v>240</v>
      </c>
      <c r="J1" s="11" t="s">
        <v>246</v>
      </c>
      <c r="K1" s="11" t="s">
        <v>86</v>
      </c>
      <c r="L1" s="11" t="s">
        <v>256</v>
      </c>
      <c r="M1" s="11" t="s">
        <v>257</v>
      </c>
      <c r="N1" s="11" t="s">
        <v>264</v>
      </c>
      <c r="O1" s="11" t="s">
        <v>62</v>
      </c>
      <c r="P1" s="11" t="s">
        <v>273</v>
      </c>
      <c r="Q1" s="11" t="s">
        <v>89</v>
      </c>
      <c r="R1" s="11" t="s">
        <v>93</v>
      </c>
      <c r="S1" s="13" t="s">
        <v>40</v>
      </c>
      <c r="T1" s="11" t="s">
        <v>12</v>
      </c>
      <c r="U1" s="11" t="s">
        <v>14</v>
      </c>
      <c r="V1" s="11" t="s">
        <v>289</v>
      </c>
    </row>
    <row r="2" ht="15.0" customHeight="1">
      <c r="A2" s="14" t="s">
        <v>295</v>
      </c>
      <c r="B2" s="17">
        <v>2.0</v>
      </c>
      <c r="C2" s="20" t="s">
        <v>138</v>
      </c>
      <c r="D2" s="14" t="s">
        <v>195</v>
      </c>
      <c r="E2" s="14" t="s">
        <v>197</v>
      </c>
      <c r="F2" s="14" t="s">
        <v>127</v>
      </c>
      <c r="G2" s="14" t="s">
        <v>204</v>
      </c>
      <c r="H2" s="14" t="s">
        <v>206</v>
      </c>
      <c r="I2" s="17"/>
      <c r="J2" s="14"/>
      <c r="K2" s="14"/>
      <c r="L2" s="14"/>
      <c r="M2" s="14"/>
      <c r="N2" s="23" t="s">
        <v>323</v>
      </c>
      <c r="O2" s="14" t="s">
        <v>115</v>
      </c>
      <c r="P2" s="17">
        <f t="shared" ref="P2:P73" si="1">IFERROR(IF(LEFT(O2,1)="1",0.1,IF(LEFT(O2,1)="2",0.25,IF(LEFT(O2,1)="3",0.5,IF(LEFT(O2,1)="4",1,"")))),"")</f>
        <v>0.1</v>
      </c>
      <c r="Q2" s="23" t="s">
        <v>140</v>
      </c>
      <c r="R2" s="9" t="s">
        <v>124</v>
      </c>
      <c r="S2" s="26" t="s">
        <v>190</v>
      </c>
      <c r="T2" s="23" t="s">
        <v>351</v>
      </c>
      <c r="U2" s="27">
        <v>46302.0</v>
      </c>
      <c r="V2" s="23" t="s">
        <v>355</v>
      </c>
    </row>
    <row r="3" ht="15.0" customHeight="1">
      <c r="A3" s="14" t="s">
        <v>359</v>
      </c>
      <c r="B3" s="28">
        <v>3.0</v>
      </c>
      <c r="C3" s="20" t="s">
        <v>138</v>
      </c>
      <c r="D3" s="14" t="s">
        <v>195</v>
      </c>
      <c r="E3" s="14" t="s">
        <v>212</v>
      </c>
      <c r="F3" s="14" t="s">
        <v>145</v>
      </c>
      <c r="G3" s="14" t="s">
        <v>268</v>
      </c>
      <c r="H3" s="23" t="s">
        <v>395</v>
      </c>
      <c r="I3" s="29">
        <v>316.6</v>
      </c>
      <c r="J3" s="14" t="s">
        <v>407</v>
      </c>
      <c r="K3" s="14"/>
      <c r="L3" s="14"/>
      <c r="M3" s="14"/>
      <c r="N3" s="14" t="s">
        <v>266</v>
      </c>
      <c r="O3" s="14" t="s">
        <v>135</v>
      </c>
      <c r="P3" s="17">
        <f t="shared" si="1"/>
        <v>0.25</v>
      </c>
      <c r="Q3" s="23" t="s">
        <v>123</v>
      </c>
      <c r="R3" s="9" t="s">
        <v>124</v>
      </c>
      <c r="S3" s="30" t="s">
        <v>263</v>
      </c>
      <c r="T3" s="23" t="s">
        <v>425</v>
      </c>
      <c r="U3" s="27">
        <v>46302.0</v>
      </c>
      <c r="V3" s="23"/>
    </row>
    <row r="4" ht="15.0" customHeight="1">
      <c r="A4" s="14" t="s">
        <v>449</v>
      </c>
      <c r="B4" s="28">
        <v>3.0</v>
      </c>
      <c r="C4" s="20" t="s">
        <v>138</v>
      </c>
      <c r="D4" s="14" t="s">
        <v>195</v>
      </c>
      <c r="E4" s="14" t="s">
        <v>212</v>
      </c>
      <c r="F4" s="14" t="s">
        <v>145</v>
      </c>
      <c r="G4" s="14" t="s">
        <v>270</v>
      </c>
      <c r="H4" s="23" t="s">
        <v>477</v>
      </c>
      <c r="I4" s="17">
        <v>80.0</v>
      </c>
      <c r="J4" s="14" t="s">
        <v>481</v>
      </c>
      <c r="K4" s="14"/>
      <c r="L4" s="14"/>
      <c r="M4" s="14"/>
      <c r="N4" s="14" t="s">
        <v>266</v>
      </c>
      <c r="O4" s="14" t="s">
        <v>135</v>
      </c>
      <c r="P4" s="17">
        <f t="shared" si="1"/>
        <v>0.25</v>
      </c>
      <c r="Q4" s="23" t="s">
        <v>123</v>
      </c>
      <c r="R4" s="9" t="s">
        <v>124</v>
      </c>
      <c r="S4" s="26" t="s">
        <v>263</v>
      </c>
      <c r="T4" s="23" t="s">
        <v>351</v>
      </c>
      <c r="U4" s="27">
        <v>46267.0</v>
      </c>
      <c r="V4" s="23"/>
    </row>
    <row r="5" ht="15.0" customHeight="1">
      <c r="A5" s="14" t="s">
        <v>501</v>
      </c>
      <c r="B5" s="28">
        <v>4.0</v>
      </c>
      <c r="C5" s="20" t="s">
        <v>138</v>
      </c>
      <c r="D5" s="14" t="s">
        <v>195</v>
      </c>
      <c r="E5" s="14" t="s">
        <v>212</v>
      </c>
      <c r="F5" s="14" t="s">
        <v>145</v>
      </c>
      <c r="G5" s="23" t="s">
        <v>502</v>
      </c>
      <c r="H5" s="23" t="s">
        <v>503</v>
      </c>
      <c r="I5" s="17"/>
      <c r="J5" s="14"/>
      <c r="K5" s="14"/>
      <c r="L5" s="14"/>
      <c r="M5" s="14"/>
      <c r="N5" s="14" t="s">
        <v>266</v>
      </c>
      <c r="O5" s="14" t="s">
        <v>135</v>
      </c>
      <c r="P5" s="17">
        <f t="shared" si="1"/>
        <v>0.25</v>
      </c>
      <c r="Q5" s="23" t="s">
        <v>123</v>
      </c>
      <c r="R5" s="9" t="s">
        <v>124</v>
      </c>
      <c r="S5" s="26" t="s">
        <v>263</v>
      </c>
      <c r="T5" s="23" t="s">
        <v>351</v>
      </c>
      <c r="U5" s="27">
        <v>46267.0</v>
      </c>
      <c r="V5" s="23"/>
    </row>
    <row r="6" ht="15.0" customHeight="1">
      <c r="A6" s="14" t="s">
        <v>504</v>
      </c>
      <c r="B6" s="28">
        <v>4.0</v>
      </c>
      <c r="C6" s="20" t="s">
        <v>138</v>
      </c>
      <c r="D6" s="14" t="s">
        <v>195</v>
      </c>
      <c r="E6" s="14" t="s">
        <v>212</v>
      </c>
      <c r="F6" s="14" t="s">
        <v>145</v>
      </c>
      <c r="G6" s="14" t="s">
        <v>287</v>
      </c>
      <c r="H6" s="14" t="s">
        <v>288</v>
      </c>
      <c r="I6" s="17"/>
      <c r="J6" s="14"/>
      <c r="K6" s="14"/>
      <c r="L6" s="14"/>
      <c r="M6" s="14"/>
      <c r="N6" s="14" t="s">
        <v>266</v>
      </c>
      <c r="O6" s="14" t="s">
        <v>135</v>
      </c>
      <c r="P6" s="17">
        <f t="shared" si="1"/>
        <v>0.25</v>
      </c>
      <c r="Q6" s="23" t="s">
        <v>123</v>
      </c>
      <c r="R6" s="9" t="s">
        <v>124</v>
      </c>
      <c r="S6" s="26" t="s">
        <v>263</v>
      </c>
      <c r="T6" s="23" t="s">
        <v>351</v>
      </c>
      <c r="U6" s="27">
        <v>46267.0</v>
      </c>
      <c r="V6" s="23"/>
    </row>
    <row r="7" ht="15.0" customHeight="1">
      <c r="A7" s="31" t="s">
        <v>505</v>
      </c>
      <c r="B7" s="32">
        <v>5.0</v>
      </c>
      <c r="C7" s="3" t="s">
        <v>154</v>
      </c>
      <c r="D7" s="31" t="s">
        <v>306</v>
      </c>
      <c r="E7" s="31" t="s">
        <v>307</v>
      </c>
      <c r="F7" s="31" t="s">
        <v>218</v>
      </c>
      <c r="G7" s="31" t="s">
        <v>309</v>
      </c>
      <c r="H7" s="33" t="s">
        <v>513</v>
      </c>
      <c r="I7" s="32">
        <v>3.4</v>
      </c>
      <c r="J7" s="31" t="s">
        <v>129</v>
      </c>
      <c r="K7" s="31"/>
      <c r="L7" s="31"/>
      <c r="M7" s="31"/>
      <c r="N7" s="31"/>
      <c r="O7" s="31" t="s">
        <v>166</v>
      </c>
      <c r="P7" s="32">
        <f t="shared" si="1"/>
        <v>1</v>
      </c>
      <c r="Q7" s="31"/>
      <c r="R7" s="3" t="s">
        <v>124</v>
      </c>
      <c r="S7" s="34" t="s">
        <v>304</v>
      </c>
      <c r="T7" s="33" t="s">
        <v>217</v>
      </c>
      <c r="U7" s="33"/>
      <c r="V7" s="31"/>
    </row>
    <row r="8" ht="15.0" customHeight="1">
      <c r="A8" s="14" t="s">
        <v>543</v>
      </c>
      <c r="B8" s="28">
        <v>6.0</v>
      </c>
      <c r="C8" s="9" t="s">
        <v>120</v>
      </c>
      <c r="D8" s="14" t="s">
        <v>325</v>
      </c>
      <c r="E8" s="14" t="s">
        <v>326</v>
      </c>
      <c r="F8" s="14"/>
      <c r="G8" s="14" t="s">
        <v>148</v>
      </c>
      <c r="H8" s="23" t="s">
        <v>557</v>
      </c>
      <c r="I8" s="17">
        <v>20.0</v>
      </c>
      <c r="J8" s="14" t="s">
        <v>562</v>
      </c>
      <c r="K8" s="14"/>
      <c r="L8" s="14"/>
      <c r="M8" s="14"/>
      <c r="N8" s="14" t="s">
        <v>327</v>
      </c>
      <c r="O8" s="14" t="s">
        <v>135</v>
      </c>
      <c r="P8" s="17">
        <f t="shared" si="1"/>
        <v>0.25</v>
      </c>
      <c r="Q8" s="14"/>
      <c r="R8" s="9" t="s">
        <v>124</v>
      </c>
      <c r="S8" s="26" t="s">
        <v>478</v>
      </c>
      <c r="T8" s="23" t="s">
        <v>351</v>
      </c>
      <c r="U8" s="27">
        <v>46267.0</v>
      </c>
      <c r="V8" s="23"/>
    </row>
    <row r="9" ht="15.0" customHeight="1">
      <c r="A9" s="41" t="s">
        <v>600</v>
      </c>
      <c r="B9" s="43">
        <v>7.0</v>
      </c>
      <c r="C9" s="5" t="s">
        <v>138</v>
      </c>
      <c r="D9" s="41" t="s">
        <v>340</v>
      </c>
      <c r="E9" s="41" t="s">
        <v>341</v>
      </c>
      <c r="F9" s="41" t="s">
        <v>205</v>
      </c>
      <c r="G9" s="41" t="s">
        <v>342</v>
      </c>
      <c r="H9" s="44" t="s">
        <v>629</v>
      </c>
      <c r="I9" s="45">
        <v>9.46</v>
      </c>
      <c r="J9" s="41" t="s">
        <v>653</v>
      </c>
      <c r="K9" s="41"/>
      <c r="L9" s="41"/>
      <c r="M9" s="41"/>
      <c r="N9" s="41"/>
      <c r="O9" s="41" t="s">
        <v>166</v>
      </c>
      <c r="P9" s="45">
        <f t="shared" si="1"/>
        <v>1</v>
      </c>
      <c r="Q9" s="41"/>
      <c r="R9" s="5" t="s">
        <v>124</v>
      </c>
      <c r="S9" s="46" t="s">
        <v>338</v>
      </c>
      <c r="T9" s="41"/>
      <c r="U9" s="41"/>
      <c r="V9" s="41"/>
    </row>
    <row r="10" ht="15.0" customHeight="1">
      <c r="A10" s="41" t="s">
        <v>674</v>
      </c>
      <c r="B10" s="43">
        <v>7.0</v>
      </c>
      <c r="C10" s="5" t="s">
        <v>138</v>
      </c>
      <c r="D10" s="41" t="s">
        <v>340</v>
      </c>
      <c r="E10" s="41" t="s">
        <v>341</v>
      </c>
      <c r="F10" s="41" t="s">
        <v>205</v>
      </c>
      <c r="G10" s="41" t="s">
        <v>344</v>
      </c>
      <c r="H10" s="52" t="s">
        <v>681</v>
      </c>
      <c r="I10" s="45">
        <v>3.06</v>
      </c>
      <c r="J10" s="41" t="s">
        <v>249</v>
      </c>
      <c r="K10" s="41"/>
      <c r="L10" s="41"/>
      <c r="M10" s="41"/>
      <c r="N10" s="41"/>
      <c r="O10" s="41" t="s">
        <v>166</v>
      </c>
      <c r="P10" s="45">
        <f t="shared" si="1"/>
        <v>1</v>
      </c>
      <c r="Q10" s="41"/>
      <c r="R10" s="5" t="s">
        <v>124</v>
      </c>
      <c r="S10" s="46" t="s">
        <v>338</v>
      </c>
      <c r="T10" s="41"/>
      <c r="U10" s="41"/>
      <c r="V10" s="41"/>
    </row>
    <row r="11" ht="15.0" customHeight="1">
      <c r="A11" s="41" t="s">
        <v>717</v>
      </c>
      <c r="B11" s="43">
        <v>8.0</v>
      </c>
      <c r="C11" s="5" t="s">
        <v>138</v>
      </c>
      <c r="D11" s="41" t="s">
        <v>352</v>
      </c>
      <c r="E11" s="41" t="s">
        <v>341</v>
      </c>
      <c r="F11" s="41" t="s">
        <v>205</v>
      </c>
      <c r="G11" s="41" t="s">
        <v>342</v>
      </c>
      <c r="H11" s="52" t="s">
        <v>728</v>
      </c>
      <c r="I11" s="45">
        <v>3.58</v>
      </c>
      <c r="J11" s="41" t="s">
        <v>653</v>
      </c>
      <c r="K11" s="41"/>
      <c r="L11" s="41"/>
      <c r="M11" s="41"/>
      <c r="N11" s="41"/>
      <c r="O11" s="41" t="s">
        <v>166</v>
      </c>
      <c r="P11" s="45">
        <f t="shared" si="1"/>
        <v>1</v>
      </c>
      <c r="Q11" s="41"/>
      <c r="R11" s="5" t="s">
        <v>124</v>
      </c>
      <c r="S11" s="46" t="s">
        <v>338</v>
      </c>
      <c r="T11" s="41"/>
      <c r="U11" s="41"/>
      <c r="V11" s="41"/>
    </row>
    <row r="12" ht="15.0" customHeight="1">
      <c r="A12" s="41" t="s">
        <v>747</v>
      </c>
      <c r="B12" s="43">
        <v>8.0</v>
      </c>
      <c r="C12" s="5" t="s">
        <v>138</v>
      </c>
      <c r="D12" s="41" t="s">
        <v>352</v>
      </c>
      <c r="E12" s="41" t="s">
        <v>341</v>
      </c>
      <c r="F12" s="41" t="s">
        <v>205</v>
      </c>
      <c r="G12" s="41" t="s">
        <v>344</v>
      </c>
      <c r="H12" s="56" t="s">
        <v>756</v>
      </c>
      <c r="I12" s="45">
        <v>0.27</v>
      </c>
      <c r="J12" s="41" t="s">
        <v>249</v>
      </c>
      <c r="K12" s="41"/>
      <c r="L12" s="41"/>
      <c r="M12" s="41"/>
      <c r="N12" s="41"/>
      <c r="O12" s="41" t="s">
        <v>166</v>
      </c>
      <c r="P12" s="45">
        <f t="shared" si="1"/>
        <v>1</v>
      </c>
      <c r="Q12" s="41"/>
      <c r="R12" s="5" t="s">
        <v>124</v>
      </c>
      <c r="S12" s="46" t="s">
        <v>338</v>
      </c>
      <c r="T12" s="41"/>
      <c r="U12" s="41"/>
      <c r="V12" s="41"/>
    </row>
    <row r="13" ht="15.0" customHeight="1">
      <c r="A13" s="41" t="s">
        <v>766</v>
      </c>
      <c r="B13" s="43">
        <v>9.0</v>
      </c>
      <c r="C13" s="5" t="s">
        <v>138</v>
      </c>
      <c r="D13" s="41" t="s">
        <v>356</v>
      </c>
      <c r="E13" s="41" t="s">
        <v>341</v>
      </c>
      <c r="F13" s="41" t="s">
        <v>205</v>
      </c>
      <c r="G13" s="41" t="s">
        <v>342</v>
      </c>
      <c r="H13" s="56" t="s">
        <v>767</v>
      </c>
      <c r="I13" s="45">
        <v>38.87</v>
      </c>
      <c r="J13" s="41" t="s">
        <v>653</v>
      </c>
      <c r="K13" s="41"/>
      <c r="L13" s="41"/>
      <c r="M13" s="41"/>
      <c r="N13" s="41"/>
      <c r="O13" s="41" t="s">
        <v>166</v>
      </c>
      <c r="P13" s="45">
        <f t="shared" si="1"/>
        <v>1</v>
      </c>
      <c r="Q13" s="41"/>
      <c r="R13" s="5" t="s">
        <v>124</v>
      </c>
      <c r="S13" s="46" t="s">
        <v>338</v>
      </c>
      <c r="T13" s="41"/>
      <c r="U13" s="41"/>
      <c r="V13" s="41"/>
    </row>
    <row r="14" ht="15.0" customHeight="1">
      <c r="A14" s="41" t="s">
        <v>768</v>
      </c>
      <c r="B14" s="43">
        <v>9.0</v>
      </c>
      <c r="C14" s="5" t="s">
        <v>138</v>
      </c>
      <c r="D14" s="41" t="s">
        <v>356</v>
      </c>
      <c r="E14" s="41" t="s">
        <v>341</v>
      </c>
      <c r="F14" s="41" t="s">
        <v>205</v>
      </c>
      <c r="G14" s="41" t="s">
        <v>344</v>
      </c>
      <c r="H14" s="56" t="s">
        <v>769</v>
      </c>
      <c r="I14" s="45">
        <v>17.59</v>
      </c>
      <c r="J14" s="41" t="s">
        <v>249</v>
      </c>
      <c r="K14" s="41"/>
      <c r="L14" s="41"/>
      <c r="M14" s="41"/>
      <c r="N14" s="41"/>
      <c r="O14" s="41" t="s">
        <v>166</v>
      </c>
      <c r="P14" s="45">
        <f t="shared" si="1"/>
        <v>1</v>
      </c>
      <c r="Q14" s="41"/>
      <c r="R14" s="5" t="s">
        <v>124</v>
      </c>
      <c r="S14" s="46" t="s">
        <v>338</v>
      </c>
      <c r="T14" s="41"/>
      <c r="U14" s="41"/>
      <c r="V14" s="41"/>
    </row>
    <row r="15" ht="15.0" customHeight="1">
      <c r="A15" s="41" t="s">
        <v>770</v>
      </c>
      <c r="B15" s="45">
        <v>10.0</v>
      </c>
      <c r="C15" s="5" t="s">
        <v>138</v>
      </c>
      <c r="D15" s="41" t="s">
        <v>195</v>
      </c>
      <c r="E15" s="41" t="s">
        <v>365</v>
      </c>
      <c r="F15" s="41" t="s">
        <v>228</v>
      </c>
      <c r="G15" s="41" t="s">
        <v>367</v>
      </c>
      <c r="H15" s="41" t="s">
        <v>368</v>
      </c>
      <c r="I15" s="45"/>
      <c r="J15" s="41"/>
      <c r="K15" s="41"/>
      <c r="L15" s="41"/>
      <c r="M15" s="41"/>
      <c r="N15" s="41" t="s">
        <v>366</v>
      </c>
      <c r="O15" s="41" t="s">
        <v>152</v>
      </c>
      <c r="P15" s="45">
        <f t="shared" si="1"/>
        <v>0.5</v>
      </c>
      <c r="Q15" s="41"/>
      <c r="R15" s="5" t="s">
        <v>124</v>
      </c>
      <c r="S15" s="46" t="s">
        <v>363</v>
      </c>
      <c r="T15" s="41"/>
      <c r="U15" s="41"/>
      <c r="V15" s="41"/>
    </row>
    <row r="16" ht="15.0" customHeight="1">
      <c r="A16" s="41" t="s">
        <v>771</v>
      </c>
      <c r="B16" s="45">
        <v>10.0</v>
      </c>
      <c r="C16" s="5" t="s">
        <v>138</v>
      </c>
      <c r="D16" s="41" t="s">
        <v>195</v>
      </c>
      <c r="E16" s="41" t="s">
        <v>365</v>
      </c>
      <c r="F16" s="41" t="s">
        <v>228</v>
      </c>
      <c r="G16" s="41" t="s">
        <v>369</v>
      </c>
      <c r="H16" s="41" t="s">
        <v>370</v>
      </c>
      <c r="I16" s="45">
        <v>80.0</v>
      </c>
      <c r="J16" s="41" t="s">
        <v>481</v>
      </c>
      <c r="K16" s="41"/>
      <c r="L16" s="41"/>
      <c r="M16" s="41"/>
      <c r="N16" s="41" t="s">
        <v>366</v>
      </c>
      <c r="O16" s="41" t="s">
        <v>152</v>
      </c>
      <c r="P16" s="45">
        <f t="shared" si="1"/>
        <v>0.5</v>
      </c>
      <c r="Q16" s="41"/>
      <c r="R16" s="5" t="s">
        <v>124</v>
      </c>
      <c r="S16" s="46" t="s">
        <v>363</v>
      </c>
      <c r="T16" s="41"/>
      <c r="U16" s="41"/>
      <c r="V16" s="41"/>
    </row>
    <row r="17" ht="15.0" customHeight="1">
      <c r="A17" s="41" t="s">
        <v>772</v>
      </c>
      <c r="B17" s="45">
        <v>10.0</v>
      </c>
      <c r="C17" s="5" t="s">
        <v>138</v>
      </c>
      <c r="D17" s="41" t="s">
        <v>195</v>
      </c>
      <c r="E17" s="41" t="s">
        <v>365</v>
      </c>
      <c r="F17" s="41" t="s">
        <v>228</v>
      </c>
      <c r="G17" s="41" t="s">
        <v>371</v>
      </c>
      <c r="H17" s="41" t="s">
        <v>372</v>
      </c>
      <c r="I17" s="45"/>
      <c r="J17" s="41"/>
      <c r="K17" s="41"/>
      <c r="L17" s="41"/>
      <c r="M17" s="41"/>
      <c r="N17" s="41" t="s">
        <v>366</v>
      </c>
      <c r="O17" s="41" t="s">
        <v>152</v>
      </c>
      <c r="P17" s="45">
        <f t="shared" si="1"/>
        <v>0.5</v>
      </c>
      <c r="Q17" s="41"/>
      <c r="R17" s="5" t="s">
        <v>124</v>
      </c>
      <c r="S17" s="46" t="s">
        <v>363</v>
      </c>
      <c r="T17" s="41"/>
      <c r="U17" s="41"/>
      <c r="V17" s="41"/>
    </row>
    <row r="18" ht="15.0" customHeight="1">
      <c r="A18" s="14" t="s">
        <v>773</v>
      </c>
      <c r="B18" s="17">
        <v>11.0</v>
      </c>
      <c r="C18" s="20" t="s">
        <v>154</v>
      </c>
      <c r="D18" s="14" t="s">
        <v>195</v>
      </c>
      <c r="E18" s="14" t="s">
        <v>383</v>
      </c>
      <c r="F18" s="14" t="s">
        <v>205</v>
      </c>
      <c r="G18" s="14" t="s">
        <v>385</v>
      </c>
      <c r="H18" s="58" t="s">
        <v>774</v>
      </c>
      <c r="I18" s="17"/>
      <c r="J18" s="14"/>
      <c r="K18" s="14"/>
      <c r="L18" s="14"/>
      <c r="M18" s="14"/>
      <c r="N18" s="14" t="s">
        <v>384</v>
      </c>
      <c r="O18" s="14" t="s">
        <v>115</v>
      </c>
      <c r="P18" s="17">
        <f t="shared" si="1"/>
        <v>0.1</v>
      </c>
      <c r="Q18" s="23" t="s">
        <v>156</v>
      </c>
      <c r="R18" s="9" t="s">
        <v>124</v>
      </c>
      <c r="S18" s="58" t="s">
        <v>775</v>
      </c>
      <c r="T18" s="23" t="s">
        <v>351</v>
      </c>
      <c r="U18" s="27">
        <v>46276.0</v>
      </c>
      <c r="V18" s="23"/>
    </row>
    <row r="19" ht="15.0" customHeight="1">
      <c r="A19" s="14" t="s">
        <v>776</v>
      </c>
      <c r="B19" s="28">
        <v>12.0</v>
      </c>
      <c r="C19" s="20" t="s">
        <v>138</v>
      </c>
      <c r="D19" s="14" t="s">
        <v>195</v>
      </c>
      <c r="E19" s="14" t="s">
        <v>394</v>
      </c>
      <c r="F19" s="23" t="s">
        <v>777</v>
      </c>
      <c r="G19" s="23" t="s">
        <v>778</v>
      </c>
      <c r="H19" s="59" t="s">
        <v>779</v>
      </c>
      <c r="I19" s="29" t="s">
        <v>780</v>
      </c>
      <c r="J19" s="23" t="s">
        <v>781</v>
      </c>
      <c r="K19" s="14"/>
      <c r="L19" s="14"/>
      <c r="M19" s="14"/>
      <c r="N19" s="14" t="s">
        <v>396</v>
      </c>
      <c r="O19" s="14" t="s">
        <v>115</v>
      </c>
      <c r="P19" s="17">
        <f t="shared" si="1"/>
        <v>0.1</v>
      </c>
      <c r="Q19" s="23" t="s">
        <v>123</v>
      </c>
      <c r="R19" s="9" t="s">
        <v>124</v>
      </c>
      <c r="S19" s="26" t="s">
        <v>190</v>
      </c>
      <c r="T19" s="23" t="s">
        <v>351</v>
      </c>
      <c r="U19" s="27">
        <v>46276.0</v>
      </c>
      <c r="V19" s="23" t="s">
        <v>782</v>
      </c>
    </row>
    <row r="20" ht="15.0" customHeight="1">
      <c r="A20" s="14" t="s">
        <v>783</v>
      </c>
      <c r="B20" s="28">
        <v>12.0</v>
      </c>
      <c r="C20" s="20" t="s">
        <v>138</v>
      </c>
      <c r="D20" s="14" t="s">
        <v>195</v>
      </c>
      <c r="E20" s="14" t="s">
        <v>394</v>
      </c>
      <c r="F20" s="14" t="s">
        <v>127</v>
      </c>
      <c r="G20" s="14" t="s">
        <v>399</v>
      </c>
      <c r="H20" s="59" t="s">
        <v>400</v>
      </c>
      <c r="I20" s="17"/>
      <c r="J20" s="14"/>
      <c r="K20" s="14"/>
      <c r="L20" s="14"/>
      <c r="M20" s="14"/>
      <c r="N20" s="14" t="s">
        <v>396</v>
      </c>
      <c r="O20" s="14" t="s">
        <v>115</v>
      </c>
      <c r="P20" s="17">
        <f t="shared" si="1"/>
        <v>0.1</v>
      </c>
      <c r="Q20" s="23" t="s">
        <v>123</v>
      </c>
      <c r="R20" s="9" t="s">
        <v>124</v>
      </c>
      <c r="S20" s="26" t="s">
        <v>190</v>
      </c>
      <c r="T20" s="23" t="s">
        <v>351</v>
      </c>
      <c r="U20" s="27">
        <v>46276.0</v>
      </c>
      <c r="V20" s="23" t="s">
        <v>784</v>
      </c>
    </row>
    <row r="21" ht="15.0" customHeight="1">
      <c r="A21" s="14" t="s">
        <v>785</v>
      </c>
      <c r="B21" s="28">
        <v>13.0</v>
      </c>
      <c r="C21" s="20" t="s">
        <v>138</v>
      </c>
      <c r="D21" s="14" t="s">
        <v>195</v>
      </c>
      <c r="E21" s="14" t="s">
        <v>197</v>
      </c>
      <c r="F21" s="14" t="s">
        <v>127</v>
      </c>
      <c r="G21" s="14" t="s">
        <v>397</v>
      </c>
      <c r="H21" s="59" t="s">
        <v>409</v>
      </c>
      <c r="I21" s="17">
        <v>18.0</v>
      </c>
      <c r="J21" s="14" t="s">
        <v>481</v>
      </c>
      <c r="K21" s="14"/>
      <c r="L21" s="14"/>
      <c r="M21" s="14"/>
      <c r="N21" s="14" t="s">
        <v>396</v>
      </c>
      <c r="O21" s="14" t="s">
        <v>115</v>
      </c>
      <c r="P21" s="17">
        <f t="shared" si="1"/>
        <v>0.1</v>
      </c>
      <c r="Q21" s="23" t="s">
        <v>123</v>
      </c>
      <c r="R21" s="9" t="s">
        <v>124</v>
      </c>
      <c r="S21" s="26" t="s">
        <v>190</v>
      </c>
      <c r="T21" s="23" t="s">
        <v>351</v>
      </c>
      <c r="U21" s="27">
        <v>46276.0</v>
      </c>
      <c r="V21" s="23" t="s">
        <v>782</v>
      </c>
    </row>
    <row r="22" ht="15.0" customHeight="1">
      <c r="A22" s="14" t="s">
        <v>786</v>
      </c>
      <c r="B22" s="28">
        <v>13.0</v>
      </c>
      <c r="C22" s="20" t="s">
        <v>138</v>
      </c>
      <c r="D22" s="14" t="s">
        <v>195</v>
      </c>
      <c r="E22" s="14" t="s">
        <v>197</v>
      </c>
      <c r="F22" s="14" t="s">
        <v>127</v>
      </c>
      <c r="G22" s="14" t="s">
        <v>399</v>
      </c>
      <c r="H22" s="14" t="s">
        <v>410</v>
      </c>
      <c r="I22" s="17"/>
      <c r="J22" s="14"/>
      <c r="K22" s="14"/>
      <c r="L22" s="14"/>
      <c r="M22" s="14"/>
      <c r="N22" s="14" t="s">
        <v>396</v>
      </c>
      <c r="O22" s="14" t="s">
        <v>115</v>
      </c>
      <c r="P22" s="17">
        <f t="shared" si="1"/>
        <v>0.1</v>
      </c>
      <c r="Q22" s="23" t="s">
        <v>123</v>
      </c>
      <c r="R22" s="9" t="s">
        <v>124</v>
      </c>
      <c r="S22" s="26" t="s">
        <v>190</v>
      </c>
      <c r="T22" s="23" t="s">
        <v>351</v>
      </c>
      <c r="U22" s="27">
        <v>46276.0</v>
      </c>
      <c r="V22" s="23" t="s">
        <v>787</v>
      </c>
    </row>
    <row r="23" ht="15.0" customHeight="1">
      <c r="A23" s="14" t="s">
        <v>788</v>
      </c>
      <c r="B23" s="28">
        <v>14.0</v>
      </c>
      <c r="C23" s="20" t="s">
        <v>138</v>
      </c>
      <c r="D23" s="14" t="s">
        <v>195</v>
      </c>
      <c r="E23" s="14" t="s">
        <v>394</v>
      </c>
      <c r="F23" s="14" t="s">
        <v>127</v>
      </c>
      <c r="G23" s="14" t="s">
        <v>204</v>
      </c>
      <c r="H23" s="14" t="s">
        <v>206</v>
      </c>
      <c r="I23" s="17"/>
      <c r="J23" s="14"/>
      <c r="K23" s="14"/>
      <c r="L23" s="14"/>
      <c r="M23" s="14"/>
      <c r="N23" s="14" t="s">
        <v>203</v>
      </c>
      <c r="O23" s="14" t="s">
        <v>115</v>
      </c>
      <c r="P23" s="17">
        <f t="shared" si="1"/>
        <v>0.1</v>
      </c>
      <c r="Q23" s="23" t="s">
        <v>123</v>
      </c>
      <c r="R23" s="9" t="s">
        <v>124</v>
      </c>
      <c r="S23" s="26" t="s">
        <v>190</v>
      </c>
      <c r="T23" s="23" t="s">
        <v>351</v>
      </c>
      <c r="U23" s="27">
        <v>46276.0</v>
      </c>
      <c r="V23" s="65" t="s">
        <v>820</v>
      </c>
    </row>
    <row r="24" ht="15.0" customHeight="1">
      <c r="A24" s="41" t="s">
        <v>821</v>
      </c>
      <c r="B24" s="43">
        <v>15.0</v>
      </c>
      <c r="C24" s="5" t="s">
        <v>138</v>
      </c>
      <c r="D24" s="41" t="s">
        <v>195</v>
      </c>
      <c r="E24" s="41" t="s">
        <v>430</v>
      </c>
      <c r="F24" s="41" t="s">
        <v>431</v>
      </c>
      <c r="G24" s="41" t="s">
        <v>433</v>
      </c>
      <c r="H24" s="44" t="s">
        <v>822</v>
      </c>
      <c r="I24" s="66">
        <v>1600.0</v>
      </c>
      <c r="J24" s="41"/>
      <c r="K24" s="41"/>
      <c r="L24" s="41"/>
      <c r="M24" s="41"/>
      <c r="N24" s="41" t="s">
        <v>432</v>
      </c>
      <c r="O24" s="41" t="s">
        <v>135</v>
      </c>
      <c r="P24" s="45">
        <f t="shared" si="1"/>
        <v>0.25</v>
      </c>
      <c r="Q24" s="41"/>
      <c r="R24" s="5" t="s">
        <v>124</v>
      </c>
      <c r="S24" s="46" t="s">
        <v>428</v>
      </c>
      <c r="T24" s="41"/>
      <c r="U24" s="41"/>
      <c r="V24" s="41"/>
    </row>
    <row r="25" ht="15.0" customHeight="1">
      <c r="A25" s="41" t="s">
        <v>823</v>
      </c>
      <c r="B25" s="43">
        <v>15.0</v>
      </c>
      <c r="C25" s="5" t="s">
        <v>138</v>
      </c>
      <c r="D25" s="41" t="s">
        <v>195</v>
      </c>
      <c r="E25" s="41" t="s">
        <v>430</v>
      </c>
      <c r="F25" s="41" t="s">
        <v>431</v>
      </c>
      <c r="G25" s="41" t="s">
        <v>435</v>
      </c>
      <c r="H25" s="67" t="s">
        <v>824</v>
      </c>
      <c r="I25" s="45">
        <v>923.0</v>
      </c>
      <c r="J25" s="41" t="s">
        <v>825</v>
      </c>
      <c r="K25" s="41"/>
      <c r="L25" s="41"/>
      <c r="M25" s="41"/>
      <c r="N25" s="41" t="s">
        <v>432</v>
      </c>
      <c r="O25" s="41" t="s">
        <v>135</v>
      </c>
      <c r="P25" s="45">
        <f t="shared" si="1"/>
        <v>0.25</v>
      </c>
      <c r="Q25" s="41"/>
      <c r="R25" s="5" t="s">
        <v>124</v>
      </c>
      <c r="S25" s="46" t="s">
        <v>428</v>
      </c>
      <c r="T25" s="41"/>
      <c r="U25" s="41"/>
      <c r="V25" s="41"/>
    </row>
    <row r="26" ht="15.0" customHeight="1">
      <c r="A26" s="41" t="s">
        <v>826</v>
      </c>
      <c r="B26" s="43">
        <v>15.0</v>
      </c>
      <c r="C26" s="5" t="s">
        <v>138</v>
      </c>
      <c r="D26" s="41" t="s">
        <v>195</v>
      </c>
      <c r="E26" s="41" t="s">
        <v>430</v>
      </c>
      <c r="F26" s="41" t="s">
        <v>431</v>
      </c>
      <c r="G26" s="41" t="s">
        <v>437</v>
      </c>
      <c r="H26" s="56" t="s">
        <v>438</v>
      </c>
      <c r="I26" s="45">
        <v>5.0</v>
      </c>
      <c r="J26" s="41" t="s">
        <v>827</v>
      </c>
      <c r="K26" s="41"/>
      <c r="L26" s="41"/>
      <c r="M26" s="41"/>
      <c r="N26" s="41" t="s">
        <v>432</v>
      </c>
      <c r="O26" s="41" t="s">
        <v>135</v>
      </c>
      <c r="P26" s="45">
        <f t="shared" si="1"/>
        <v>0.25</v>
      </c>
      <c r="Q26" s="41"/>
      <c r="R26" s="5" t="s">
        <v>124</v>
      </c>
      <c r="S26" s="46" t="s">
        <v>428</v>
      </c>
      <c r="T26" s="41"/>
      <c r="U26" s="41"/>
      <c r="V26" s="41"/>
    </row>
    <row r="27" ht="15.0" customHeight="1">
      <c r="A27" s="41" t="s">
        <v>828</v>
      </c>
      <c r="B27" s="43">
        <v>15.0</v>
      </c>
      <c r="C27" s="5" t="s">
        <v>138</v>
      </c>
      <c r="D27" s="41" t="s">
        <v>195</v>
      </c>
      <c r="E27" s="41" t="s">
        <v>430</v>
      </c>
      <c r="F27" s="41" t="s">
        <v>431</v>
      </c>
      <c r="G27" s="41" t="s">
        <v>439</v>
      </c>
      <c r="H27" s="56" t="s">
        <v>440</v>
      </c>
      <c r="I27" s="45"/>
      <c r="J27" s="41"/>
      <c r="K27" s="41"/>
      <c r="L27" s="41"/>
      <c r="M27" s="41"/>
      <c r="N27" s="41" t="s">
        <v>432</v>
      </c>
      <c r="O27" s="41" t="s">
        <v>135</v>
      </c>
      <c r="P27" s="45">
        <f t="shared" si="1"/>
        <v>0.25</v>
      </c>
      <c r="Q27" s="41"/>
      <c r="R27" s="5" t="s">
        <v>124</v>
      </c>
      <c r="S27" s="46" t="s">
        <v>428</v>
      </c>
      <c r="T27" s="41"/>
      <c r="U27" s="41"/>
      <c r="V27" s="41"/>
    </row>
    <row r="28" ht="15.0" customHeight="1">
      <c r="A28" s="41" t="s">
        <v>829</v>
      </c>
      <c r="B28" s="43">
        <v>15.0</v>
      </c>
      <c r="C28" s="5" t="s">
        <v>138</v>
      </c>
      <c r="D28" s="41" t="s">
        <v>195</v>
      </c>
      <c r="E28" s="41" t="s">
        <v>430</v>
      </c>
      <c r="F28" s="41" t="s">
        <v>431</v>
      </c>
      <c r="G28" s="41" t="s">
        <v>441</v>
      </c>
      <c r="H28" s="68" t="s">
        <v>830</v>
      </c>
      <c r="I28" s="45"/>
      <c r="J28" s="41"/>
      <c r="K28" s="41"/>
      <c r="L28" s="41"/>
      <c r="M28" s="41"/>
      <c r="N28" s="41" t="s">
        <v>432</v>
      </c>
      <c r="O28" s="41" t="s">
        <v>135</v>
      </c>
      <c r="P28" s="45">
        <f t="shared" si="1"/>
        <v>0.25</v>
      </c>
      <c r="Q28" s="41"/>
      <c r="R28" s="5" t="s">
        <v>124</v>
      </c>
      <c r="S28" s="46" t="s">
        <v>428</v>
      </c>
      <c r="T28" s="41"/>
      <c r="U28" s="41"/>
      <c r="V28" s="41"/>
    </row>
    <row r="29" ht="15.0" customHeight="1">
      <c r="A29" s="41" t="s">
        <v>831</v>
      </c>
      <c r="B29" s="43">
        <v>16.0</v>
      </c>
      <c r="C29" s="5" t="s">
        <v>138</v>
      </c>
      <c r="D29" s="41" t="s">
        <v>454</v>
      </c>
      <c r="E29" s="41" t="s">
        <v>455</v>
      </c>
      <c r="F29" s="41" t="s">
        <v>456</v>
      </c>
      <c r="G29" s="41" t="s">
        <v>459</v>
      </c>
      <c r="H29" s="56" t="s">
        <v>832</v>
      </c>
      <c r="I29" s="45"/>
      <c r="J29" s="41"/>
      <c r="K29" s="41"/>
      <c r="L29" s="41"/>
      <c r="M29" s="41"/>
      <c r="N29" s="41" t="s">
        <v>458</v>
      </c>
      <c r="O29" s="41" t="s">
        <v>166</v>
      </c>
      <c r="P29" s="45">
        <f t="shared" si="1"/>
        <v>1</v>
      </c>
      <c r="Q29" s="41"/>
      <c r="R29" s="5" t="s">
        <v>124</v>
      </c>
      <c r="S29" s="46" t="s">
        <v>453</v>
      </c>
      <c r="T29" s="41"/>
      <c r="U29" s="41"/>
      <c r="V29" s="41"/>
    </row>
    <row r="30" ht="15.0" customHeight="1">
      <c r="A30" s="41" t="s">
        <v>833</v>
      </c>
      <c r="B30" s="43">
        <v>16.0</v>
      </c>
      <c r="C30" s="5" t="s">
        <v>138</v>
      </c>
      <c r="D30" s="41" t="s">
        <v>454</v>
      </c>
      <c r="E30" s="41" t="s">
        <v>455</v>
      </c>
      <c r="F30" s="41" t="s">
        <v>456</v>
      </c>
      <c r="G30" s="41" t="s">
        <v>461</v>
      </c>
      <c r="H30" s="56" t="s">
        <v>462</v>
      </c>
      <c r="I30" s="45">
        <v>3.0</v>
      </c>
      <c r="J30" s="41" t="s">
        <v>481</v>
      </c>
      <c r="K30" s="41"/>
      <c r="L30" s="41"/>
      <c r="M30" s="41"/>
      <c r="N30" s="41" t="s">
        <v>458</v>
      </c>
      <c r="O30" s="41" t="s">
        <v>166</v>
      </c>
      <c r="P30" s="45">
        <f t="shared" si="1"/>
        <v>1</v>
      </c>
      <c r="Q30" s="41"/>
      <c r="R30" s="5" t="s">
        <v>124</v>
      </c>
      <c r="S30" s="46" t="s">
        <v>453</v>
      </c>
      <c r="T30" s="41"/>
      <c r="U30" s="41"/>
      <c r="V30" s="41"/>
    </row>
    <row r="31" ht="15.0" customHeight="1">
      <c r="A31" s="41" t="s">
        <v>834</v>
      </c>
      <c r="B31" s="43">
        <v>16.0</v>
      </c>
      <c r="C31" s="5" t="s">
        <v>138</v>
      </c>
      <c r="D31" s="41" t="s">
        <v>454</v>
      </c>
      <c r="E31" s="41" t="s">
        <v>455</v>
      </c>
      <c r="F31" s="41" t="s">
        <v>456</v>
      </c>
      <c r="G31" s="41" t="s">
        <v>463</v>
      </c>
      <c r="H31" s="56" t="s">
        <v>464</v>
      </c>
      <c r="I31" s="66">
        <v>6.0</v>
      </c>
      <c r="J31" s="52" t="s">
        <v>835</v>
      </c>
      <c r="K31" s="41"/>
      <c r="L31" s="41"/>
      <c r="M31" s="41"/>
      <c r="N31" s="41" t="s">
        <v>458</v>
      </c>
      <c r="O31" s="41" t="s">
        <v>166</v>
      </c>
      <c r="P31" s="45">
        <f t="shared" si="1"/>
        <v>1</v>
      </c>
      <c r="Q31" s="41"/>
      <c r="R31" s="5" t="s">
        <v>124</v>
      </c>
      <c r="S31" s="46" t="s">
        <v>453</v>
      </c>
      <c r="T31" s="41"/>
      <c r="U31" s="41"/>
      <c r="V31" s="41"/>
    </row>
    <row r="32" ht="15.0" customHeight="1">
      <c r="A32" s="41" t="s">
        <v>836</v>
      </c>
      <c r="B32" s="43">
        <v>16.0</v>
      </c>
      <c r="C32" s="5" t="s">
        <v>138</v>
      </c>
      <c r="D32" s="41" t="s">
        <v>454</v>
      </c>
      <c r="E32" s="41" t="s">
        <v>455</v>
      </c>
      <c r="F32" s="41" t="s">
        <v>456</v>
      </c>
      <c r="G32" s="41" t="s">
        <v>465</v>
      </c>
      <c r="H32" s="56" t="s">
        <v>466</v>
      </c>
      <c r="I32" s="45">
        <v>2.0</v>
      </c>
      <c r="J32" s="41" t="s">
        <v>837</v>
      </c>
      <c r="K32" s="41"/>
      <c r="L32" s="41"/>
      <c r="M32" s="41"/>
      <c r="N32" s="41" t="s">
        <v>458</v>
      </c>
      <c r="O32" s="41" t="s">
        <v>166</v>
      </c>
      <c r="P32" s="45">
        <f t="shared" si="1"/>
        <v>1</v>
      </c>
      <c r="Q32" s="41"/>
      <c r="R32" s="5" t="s">
        <v>124</v>
      </c>
      <c r="S32" s="46" t="s">
        <v>453</v>
      </c>
      <c r="T32" s="41"/>
      <c r="U32" s="41"/>
      <c r="V32" s="41"/>
    </row>
    <row r="33" ht="15.0" customHeight="1">
      <c r="A33" s="41" t="s">
        <v>838</v>
      </c>
      <c r="B33" s="43">
        <v>16.0</v>
      </c>
      <c r="C33" s="5" t="s">
        <v>138</v>
      </c>
      <c r="D33" s="41" t="s">
        <v>454</v>
      </c>
      <c r="E33" s="41" t="s">
        <v>455</v>
      </c>
      <c r="F33" s="41" t="s">
        <v>456</v>
      </c>
      <c r="G33" s="41" t="s">
        <v>467</v>
      </c>
      <c r="H33" s="56" t="s">
        <v>468</v>
      </c>
      <c r="I33" s="45">
        <v>750.0</v>
      </c>
      <c r="J33" s="41" t="s">
        <v>839</v>
      </c>
      <c r="K33" s="41"/>
      <c r="L33" s="41"/>
      <c r="M33" s="41"/>
      <c r="N33" s="41" t="s">
        <v>458</v>
      </c>
      <c r="O33" s="41" t="s">
        <v>166</v>
      </c>
      <c r="P33" s="45">
        <f t="shared" si="1"/>
        <v>1</v>
      </c>
      <c r="Q33" s="41"/>
      <c r="R33" s="5" t="s">
        <v>124</v>
      </c>
      <c r="S33" s="46" t="s">
        <v>453</v>
      </c>
      <c r="T33" s="41"/>
      <c r="U33" s="41"/>
      <c r="V33" s="41"/>
    </row>
    <row r="34" ht="15.0" customHeight="1">
      <c r="A34" s="14" t="s">
        <v>840</v>
      </c>
      <c r="B34" s="28">
        <v>17.0</v>
      </c>
      <c r="C34" s="20" t="s">
        <v>120</v>
      </c>
      <c r="D34" s="14" t="s">
        <v>479</v>
      </c>
      <c r="E34" s="14" t="s">
        <v>326</v>
      </c>
      <c r="F34" s="14"/>
      <c r="G34" s="14" t="s">
        <v>148</v>
      </c>
      <c r="H34" s="59" t="s">
        <v>480</v>
      </c>
      <c r="I34" s="17">
        <v>26.0</v>
      </c>
      <c r="J34" s="14" t="s">
        <v>562</v>
      </c>
      <c r="K34" s="14"/>
      <c r="L34" s="14"/>
      <c r="M34" s="14"/>
      <c r="N34" s="14" t="s">
        <v>327</v>
      </c>
      <c r="O34" s="14" t="s">
        <v>135</v>
      </c>
      <c r="P34" s="17">
        <f t="shared" si="1"/>
        <v>0.25</v>
      </c>
      <c r="Q34" s="23" t="s">
        <v>140</v>
      </c>
      <c r="R34" s="9" t="s">
        <v>124</v>
      </c>
      <c r="S34" s="26" t="s">
        <v>478</v>
      </c>
      <c r="T34" s="23" t="s">
        <v>351</v>
      </c>
      <c r="U34" s="27">
        <v>46276.0</v>
      </c>
      <c r="V34" s="58" t="s">
        <v>841</v>
      </c>
    </row>
    <row r="35" ht="15.0" customHeight="1">
      <c r="A35" s="14" t="s">
        <v>842</v>
      </c>
      <c r="B35" s="28">
        <v>18.0</v>
      </c>
      <c r="C35" s="9" t="s">
        <v>120</v>
      </c>
      <c r="D35" s="14" t="s">
        <v>483</v>
      </c>
      <c r="E35" s="14" t="s">
        <v>326</v>
      </c>
      <c r="F35" s="14"/>
      <c r="G35" s="14" t="s">
        <v>148</v>
      </c>
      <c r="H35" s="59" t="s">
        <v>484</v>
      </c>
      <c r="I35" s="17">
        <v>13.0</v>
      </c>
      <c r="J35" s="14" t="s">
        <v>562</v>
      </c>
      <c r="K35" s="14"/>
      <c r="L35" s="14"/>
      <c r="M35" s="14"/>
      <c r="N35" s="14" t="s">
        <v>327</v>
      </c>
      <c r="O35" s="14" t="s">
        <v>135</v>
      </c>
      <c r="P35" s="17">
        <f t="shared" si="1"/>
        <v>0.25</v>
      </c>
      <c r="Q35" s="23" t="s">
        <v>140</v>
      </c>
      <c r="R35" s="9" t="s">
        <v>124</v>
      </c>
      <c r="S35" s="26" t="s">
        <v>478</v>
      </c>
      <c r="T35" s="23" t="s">
        <v>351</v>
      </c>
      <c r="U35" s="27">
        <v>46276.0</v>
      </c>
      <c r="V35" s="58" t="s">
        <v>843</v>
      </c>
    </row>
    <row r="36" ht="15.0" customHeight="1">
      <c r="A36" s="14" t="s">
        <v>844</v>
      </c>
      <c r="B36" s="28">
        <v>19.0</v>
      </c>
      <c r="C36" s="9" t="s">
        <v>120</v>
      </c>
      <c r="D36" s="14" t="s">
        <v>486</v>
      </c>
      <c r="E36" s="14" t="s">
        <v>326</v>
      </c>
      <c r="F36" s="14"/>
      <c r="G36" s="14" t="s">
        <v>148</v>
      </c>
      <c r="H36" s="23" t="s">
        <v>845</v>
      </c>
      <c r="I36" s="17">
        <v>20.0</v>
      </c>
      <c r="J36" s="14" t="s">
        <v>562</v>
      </c>
      <c r="K36" s="14"/>
      <c r="L36" s="14"/>
      <c r="M36" s="14"/>
      <c r="N36" s="14" t="s">
        <v>327</v>
      </c>
      <c r="O36" s="14" t="s">
        <v>135</v>
      </c>
      <c r="P36" s="17">
        <f t="shared" si="1"/>
        <v>0.25</v>
      </c>
      <c r="Q36" s="23" t="s">
        <v>140</v>
      </c>
      <c r="R36" s="9" t="s">
        <v>124</v>
      </c>
      <c r="S36" s="26" t="s">
        <v>478</v>
      </c>
      <c r="T36" s="23" t="s">
        <v>351</v>
      </c>
      <c r="U36" s="27">
        <v>46276.0</v>
      </c>
      <c r="V36" s="58" t="s">
        <v>852</v>
      </c>
    </row>
    <row r="37" ht="15.0" customHeight="1">
      <c r="A37" s="14" t="s">
        <v>853</v>
      </c>
      <c r="B37" s="17">
        <v>20.0</v>
      </c>
      <c r="C37" s="9" t="s">
        <v>120</v>
      </c>
      <c r="D37" s="14" t="s">
        <v>195</v>
      </c>
      <c r="E37" s="14" t="s">
        <v>492</v>
      </c>
      <c r="F37" s="14" t="s">
        <v>103</v>
      </c>
      <c r="G37" s="14" t="s">
        <v>148</v>
      </c>
      <c r="H37" s="59" t="s">
        <v>494</v>
      </c>
      <c r="I37" s="17">
        <v>0.0</v>
      </c>
      <c r="J37" s="14" t="s">
        <v>856</v>
      </c>
      <c r="K37" s="14"/>
      <c r="L37" s="14"/>
      <c r="M37" s="14"/>
      <c r="N37" s="14" t="s">
        <v>493</v>
      </c>
      <c r="O37" s="14" t="s">
        <v>135</v>
      </c>
      <c r="P37" s="17">
        <f t="shared" si="1"/>
        <v>0.25</v>
      </c>
      <c r="Q37" s="23" t="s">
        <v>123</v>
      </c>
      <c r="R37" s="9" t="s">
        <v>124</v>
      </c>
      <c r="S37" s="26" t="s">
        <v>491</v>
      </c>
      <c r="T37" s="23" t="s">
        <v>351</v>
      </c>
      <c r="U37" s="27">
        <v>46276.0</v>
      </c>
      <c r="V37" s="58" t="s">
        <v>861</v>
      </c>
    </row>
    <row r="38" ht="15.0" customHeight="1">
      <c r="A38" s="14" t="s">
        <v>863</v>
      </c>
      <c r="B38" s="17">
        <v>20.0</v>
      </c>
      <c r="C38" s="9" t="s">
        <v>120</v>
      </c>
      <c r="D38" s="14" t="s">
        <v>195</v>
      </c>
      <c r="E38" s="14" t="s">
        <v>492</v>
      </c>
      <c r="F38" s="14" t="s">
        <v>103</v>
      </c>
      <c r="G38" s="14" t="s">
        <v>209</v>
      </c>
      <c r="H38" s="59" t="s">
        <v>866</v>
      </c>
      <c r="I38" s="17">
        <v>0.9</v>
      </c>
      <c r="J38" s="23" t="s">
        <v>868</v>
      </c>
      <c r="K38" s="14"/>
      <c r="L38" s="14"/>
      <c r="M38" s="14"/>
      <c r="N38" s="14" t="s">
        <v>493</v>
      </c>
      <c r="O38" s="14" t="s">
        <v>135</v>
      </c>
      <c r="P38" s="17">
        <f t="shared" si="1"/>
        <v>0.25</v>
      </c>
      <c r="Q38" s="23" t="s">
        <v>123</v>
      </c>
      <c r="R38" s="9" t="s">
        <v>124</v>
      </c>
      <c r="S38" s="26" t="s">
        <v>491</v>
      </c>
      <c r="T38" s="23" t="s">
        <v>351</v>
      </c>
      <c r="U38" s="27">
        <v>46276.0</v>
      </c>
      <c r="V38" s="58" t="s">
        <v>873</v>
      </c>
    </row>
    <row r="39" ht="15.0" customHeight="1">
      <c r="A39" s="14" t="s">
        <v>875</v>
      </c>
      <c r="B39" s="17">
        <v>21.0</v>
      </c>
      <c r="C39" s="9" t="s">
        <v>120</v>
      </c>
      <c r="D39" s="14" t="s">
        <v>195</v>
      </c>
      <c r="E39" s="14" t="s">
        <v>492</v>
      </c>
      <c r="F39" s="14" t="s">
        <v>103</v>
      </c>
      <c r="G39" s="14" t="s">
        <v>148</v>
      </c>
      <c r="H39" s="14" t="s">
        <v>494</v>
      </c>
      <c r="I39" s="17">
        <v>0.0</v>
      </c>
      <c r="J39" s="14" t="s">
        <v>856</v>
      </c>
      <c r="K39" s="14"/>
      <c r="L39" s="14"/>
      <c r="M39" s="14"/>
      <c r="N39" s="14" t="s">
        <v>493</v>
      </c>
      <c r="O39" s="14" t="s">
        <v>135</v>
      </c>
      <c r="P39" s="17">
        <f t="shared" si="1"/>
        <v>0.25</v>
      </c>
      <c r="Q39" s="23" t="s">
        <v>123</v>
      </c>
      <c r="R39" s="9" t="s">
        <v>124</v>
      </c>
      <c r="S39" s="26" t="s">
        <v>491</v>
      </c>
      <c r="T39" s="23" t="s">
        <v>351</v>
      </c>
      <c r="U39" s="27">
        <v>46276.0</v>
      </c>
      <c r="V39" s="58" t="s">
        <v>876</v>
      </c>
    </row>
    <row r="40" ht="15.0" customHeight="1">
      <c r="A40" s="14" t="s">
        <v>877</v>
      </c>
      <c r="B40" s="17">
        <v>21.0</v>
      </c>
      <c r="C40" s="9" t="s">
        <v>120</v>
      </c>
      <c r="D40" s="14" t="s">
        <v>195</v>
      </c>
      <c r="E40" s="14" t="s">
        <v>492</v>
      </c>
      <c r="F40" s="14" t="s">
        <v>103</v>
      </c>
      <c r="G40" s="14" t="s">
        <v>209</v>
      </c>
      <c r="H40" s="14" t="s">
        <v>866</v>
      </c>
      <c r="I40" s="17">
        <v>0.9</v>
      </c>
      <c r="J40" s="23" t="s">
        <v>868</v>
      </c>
      <c r="K40" s="14"/>
      <c r="L40" s="14"/>
      <c r="M40" s="14"/>
      <c r="N40" s="14" t="s">
        <v>493</v>
      </c>
      <c r="O40" s="14" t="s">
        <v>135</v>
      </c>
      <c r="P40" s="17">
        <f t="shared" si="1"/>
        <v>0.25</v>
      </c>
      <c r="Q40" s="23" t="s">
        <v>123</v>
      </c>
      <c r="R40" s="9" t="s">
        <v>124</v>
      </c>
      <c r="S40" s="26" t="s">
        <v>491</v>
      </c>
      <c r="T40" s="23" t="s">
        <v>351</v>
      </c>
      <c r="U40" s="27">
        <v>46276.0</v>
      </c>
      <c r="V40" s="58" t="s">
        <v>878</v>
      </c>
    </row>
    <row r="41" ht="15.0" customHeight="1">
      <c r="A41" s="14" t="s">
        <v>879</v>
      </c>
      <c r="B41" s="17">
        <v>22.0</v>
      </c>
      <c r="C41" s="9" t="s">
        <v>120</v>
      </c>
      <c r="D41" s="14" t="s">
        <v>195</v>
      </c>
      <c r="E41" s="14" t="s">
        <v>492</v>
      </c>
      <c r="F41" s="14" t="s">
        <v>127</v>
      </c>
      <c r="G41" s="14" t="s">
        <v>107</v>
      </c>
      <c r="H41" s="23" t="s">
        <v>880</v>
      </c>
      <c r="I41" s="17"/>
      <c r="J41" s="14"/>
      <c r="K41" s="14"/>
      <c r="L41" s="23" t="s">
        <v>881</v>
      </c>
      <c r="M41" s="14"/>
      <c r="N41" s="14" t="s">
        <v>511</v>
      </c>
      <c r="O41" s="14" t="s">
        <v>115</v>
      </c>
      <c r="P41" s="17">
        <f t="shared" si="1"/>
        <v>0.1</v>
      </c>
      <c r="Q41" s="23" t="s">
        <v>123</v>
      </c>
      <c r="R41" s="9" t="s">
        <v>124</v>
      </c>
      <c r="S41" s="26" t="s">
        <v>491</v>
      </c>
      <c r="T41" s="23" t="s">
        <v>351</v>
      </c>
      <c r="U41" s="27">
        <v>46276.0</v>
      </c>
      <c r="V41" s="58" t="s">
        <v>882</v>
      </c>
    </row>
    <row r="42" ht="15.0" customHeight="1">
      <c r="A42" s="14" t="s">
        <v>883</v>
      </c>
      <c r="B42" s="17">
        <v>23.0</v>
      </c>
      <c r="C42" s="9" t="s">
        <v>120</v>
      </c>
      <c r="D42" s="14" t="s">
        <v>195</v>
      </c>
      <c r="E42" s="14" t="s">
        <v>492</v>
      </c>
      <c r="F42" s="14" t="s">
        <v>127</v>
      </c>
      <c r="G42" s="14" t="s">
        <v>107</v>
      </c>
      <c r="H42" s="23" t="s">
        <v>884</v>
      </c>
      <c r="I42" s="17"/>
      <c r="J42" s="14"/>
      <c r="K42" s="14"/>
      <c r="L42" s="23" t="s">
        <v>885</v>
      </c>
      <c r="M42" s="14"/>
      <c r="N42" s="14" t="s">
        <v>511</v>
      </c>
      <c r="O42" s="14" t="s">
        <v>115</v>
      </c>
      <c r="P42" s="17">
        <f t="shared" si="1"/>
        <v>0.1</v>
      </c>
      <c r="Q42" s="23" t="s">
        <v>123</v>
      </c>
      <c r="R42" s="9" t="s">
        <v>124</v>
      </c>
      <c r="S42" s="26" t="s">
        <v>491</v>
      </c>
      <c r="T42" s="23" t="s">
        <v>351</v>
      </c>
      <c r="U42" s="27">
        <v>46276.0</v>
      </c>
      <c r="V42" s="58" t="s">
        <v>886</v>
      </c>
    </row>
    <row r="43" ht="15.0" customHeight="1">
      <c r="A43" s="41" t="s">
        <v>887</v>
      </c>
      <c r="B43" s="43">
        <v>24.0</v>
      </c>
      <c r="C43" s="5" t="s">
        <v>138</v>
      </c>
      <c r="D43" s="41" t="s">
        <v>527</v>
      </c>
      <c r="E43" s="41" t="s">
        <v>528</v>
      </c>
      <c r="F43" s="41" t="s">
        <v>189</v>
      </c>
      <c r="G43" s="56" t="s">
        <v>204</v>
      </c>
      <c r="H43" s="41" t="s">
        <v>531</v>
      </c>
      <c r="I43" s="45">
        <v>42.1</v>
      </c>
      <c r="J43" s="41" t="s">
        <v>481</v>
      </c>
      <c r="K43" s="41"/>
      <c r="L43" s="41"/>
      <c r="M43" s="41"/>
      <c r="N43" s="41" t="s">
        <v>530</v>
      </c>
      <c r="O43" s="41" t="s">
        <v>152</v>
      </c>
      <c r="P43" s="45">
        <f t="shared" si="1"/>
        <v>0.5</v>
      </c>
      <c r="Q43" s="41"/>
      <c r="R43" s="5" t="s">
        <v>124</v>
      </c>
      <c r="S43" s="46" t="s">
        <v>526</v>
      </c>
      <c r="T43" s="41"/>
      <c r="U43" s="41"/>
      <c r="V43" s="41"/>
    </row>
    <row r="44" ht="15.0" customHeight="1">
      <c r="A44" s="41" t="s">
        <v>888</v>
      </c>
      <c r="B44" s="43">
        <v>24.0</v>
      </c>
      <c r="C44" s="5" t="s">
        <v>138</v>
      </c>
      <c r="D44" s="41" t="s">
        <v>527</v>
      </c>
      <c r="E44" s="41" t="s">
        <v>528</v>
      </c>
      <c r="F44" s="41" t="s">
        <v>189</v>
      </c>
      <c r="G44" s="56" t="s">
        <v>194</v>
      </c>
      <c r="H44" s="41" t="s">
        <v>532</v>
      </c>
      <c r="I44" s="45"/>
      <c r="J44" s="41"/>
      <c r="K44" s="41"/>
      <c r="L44" s="41"/>
      <c r="M44" s="41"/>
      <c r="N44" s="41" t="s">
        <v>530</v>
      </c>
      <c r="O44" s="41" t="s">
        <v>152</v>
      </c>
      <c r="P44" s="45">
        <f t="shared" si="1"/>
        <v>0.5</v>
      </c>
      <c r="Q44" s="41"/>
      <c r="R44" s="5" t="s">
        <v>124</v>
      </c>
      <c r="S44" s="46" t="s">
        <v>526</v>
      </c>
      <c r="T44" s="41"/>
      <c r="U44" s="41"/>
      <c r="V44" s="41"/>
    </row>
    <row r="45" ht="15.0" customHeight="1">
      <c r="A45" s="41" t="s">
        <v>889</v>
      </c>
      <c r="B45" s="43">
        <v>25.0</v>
      </c>
      <c r="C45" s="5" t="s">
        <v>138</v>
      </c>
      <c r="D45" s="41" t="s">
        <v>527</v>
      </c>
      <c r="E45" s="41" t="s">
        <v>540</v>
      </c>
      <c r="F45" s="41" t="s">
        <v>189</v>
      </c>
      <c r="G45" s="56" t="s">
        <v>204</v>
      </c>
      <c r="H45" s="41" t="s">
        <v>541</v>
      </c>
      <c r="I45" s="45">
        <v>61.0</v>
      </c>
      <c r="J45" s="41" t="s">
        <v>481</v>
      </c>
      <c r="K45" s="41"/>
      <c r="L45" s="41"/>
      <c r="M45" s="41"/>
      <c r="N45" s="41" t="s">
        <v>530</v>
      </c>
      <c r="O45" s="41" t="s">
        <v>152</v>
      </c>
      <c r="P45" s="45">
        <f t="shared" si="1"/>
        <v>0.5</v>
      </c>
      <c r="Q45" s="41"/>
      <c r="R45" s="5" t="s">
        <v>124</v>
      </c>
      <c r="S45" s="46" t="s">
        <v>526</v>
      </c>
      <c r="T45" s="41"/>
      <c r="U45" s="41"/>
      <c r="V45" s="41"/>
    </row>
    <row r="46" ht="15.0" customHeight="1">
      <c r="A46" s="41" t="s">
        <v>890</v>
      </c>
      <c r="B46" s="43">
        <v>25.0</v>
      </c>
      <c r="C46" s="5" t="s">
        <v>138</v>
      </c>
      <c r="D46" s="41" t="s">
        <v>527</v>
      </c>
      <c r="E46" s="41" t="s">
        <v>540</v>
      </c>
      <c r="F46" s="41" t="s">
        <v>189</v>
      </c>
      <c r="G46" s="56" t="s">
        <v>194</v>
      </c>
      <c r="H46" s="41" t="s">
        <v>532</v>
      </c>
      <c r="I46" s="45"/>
      <c r="J46" s="41"/>
      <c r="K46" s="41"/>
      <c r="L46" s="41"/>
      <c r="M46" s="41"/>
      <c r="N46" s="41" t="s">
        <v>530</v>
      </c>
      <c r="O46" s="41" t="s">
        <v>152</v>
      </c>
      <c r="P46" s="45">
        <f t="shared" si="1"/>
        <v>0.5</v>
      </c>
      <c r="Q46" s="41"/>
      <c r="R46" s="5" t="s">
        <v>124</v>
      </c>
      <c r="S46" s="46" t="s">
        <v>526</v>
      </c>
      <c r="T46" s="41"/>
      <c r="U46" s="41"/>
      <c r="V46" s="41"/>
    </row>
    <row r="47" ht="15.0" customHeight="1">
      <c r="A47" s="41" t="s">
        <v>891</v>
      </c>
      <c r="B47" s="43">
        <v>27.0</v>
      </c>
      <c r="C47" s="5" t="s">
        <v>138</v>
      </c>
      <c r="D47" s="41" t="s">
        <v>527</v>
      </c>
      <c r="E47" s="41" t="s">
        <v>568</v>
      </c>
      <c r="F47" s="41" t="s">
        <v>127</v>
      </c>
      <c r="G47" s="56" t="s">
        <v>569</v>
      </c>
      <c r="H47" s="41" t="s">
        <v>570</v>
      </c>
      <c r="I47" s="45">
        <v>25.0</v>
      </c>
      <c r="J47" s="41" t="s">
        <v>892</v>
      </c>
      <c r="K47" s="41"/>
      <c r="L47" s="41"/>
      <c r="M47" s="41"/>
      <c r="N47" s="41" t="s">
        <v>396</v>
      </c>
      <c r="O47" s="41" t="s">
        <v>152</v>
      </c>
      <c r="P47" s="45">
        <f t="shared" si="1"/>
        <v>0.5</v>
      </c>
      <c r="Q47" s="41"/>
      <c r="R47" s="5" t="s">
        <v>124</v>
      </c>
      <c r="S47" s="46" t="s">
        <v>566</v>
      </c>
      <c r="T47" s="41"/>
      <c r="U47" s="41"/>
      <c r="V47" s="41"/>
    </row>
    <row r="48" ht="15.0" customHeight="1">
      <c r="A48" s="41" t="s">
        <v>893</v>
      </c>
      <c r="B48" s="43">
        <v>27.0</v>
      </c>
      <c r="C48" s="5" t="s">
        <v>138</v>
      </c>
      <c r="D48" s="41" t="s">
        <v>527</v>
      </c>
      <c r="E48" s="41" t="s">
        <v>568</v>
      </c>
      <c r="F48" s="41" t="s">
        <v>127</v>
      </c>
      <c r="G48" s="56" t="s">
        <v>571</v>
      </c>
      <c r="H48" s="41" t="s">
        <v>572</v>
      </c>
      <c r="I48" s="45">
        <v>40.0</v>
      </c>
      <c r="J48" s="41" t="s">
        <v>894</v>
      </c>
      <c r="K48" s="41"/>
      <c r="L48" s="41"/>
      <c r="M48" s="41"/>
      <c r="N48" s="41" t="s">
        <v>396</v>
      </c>
      <c r="O48" s="41" t="s">
        <v>152</v>
      </c>
      <c r="P48" s="45">
        <f t="shared" si="1"/>
        <v>0.5</v>
      </c>
      <c r="Q48" s="41"/>
      <c r="R48" s="5" t="s">
        <v>124</v>
      </c>
      <c r="S48" s="46" t="s">
        <v>566</v>
      </c>
      <c r="T48" s="41"/>
      <c r="U48" s="41"/>
      <c r="V48" s="41"/>
    </row>
    <row r="49" ht="15.0" customHeight="1">
      <c r="A49" s="41" t="s">
        <v>895</v>
      </c>
      <c r="B49" s="43">
        <v>28.0</v>
      </c>
      <c r="C49" s="5" t="s">
        <v>138</v>
      </c>
      <c r="D49" s="41" t="s">
        <v>581</v>
      </c>
      <c r="E49" s="41" t="s">
        <v>582</v>
      </c>
      <c r="F49" s="41" t="s">
        <v>218</v>
      </c>
      <c r="G49" s="56" t="s">
        <v>584</v>
      </c>
      <c r="H49" s="41" t="s">
        <v>585</v>
      </c>
      <c r="I49" s="45">
        <v>103.0</v>
      </c>
      <c r="J49" s="41" t="s">
        <v>896</v>
      </c>
      <c r="K49" s="41"/>
      <c r="L49" s="41"/>
      <c r="M49" s="41"/>
      <c r="N49" s="41"/>
      <c r="O49" s="41" t="s">
        <v>166</v>
      </c>
      <c r="P49" s="45">
        <f t="shared" si="1"/>
        <v>1</v>
      </c>
      <c r="Q49" s="41"/>
      <c r="R49" s="5" t="s">
        <v>124</v>
      </c>
      <c r="S49" s="46" t="s">
        <v>580</v>
      </c>
      <c r="T49" s="41"/>
      <c r="U49" s="41"/>
      <c r="V49" s="41"/>
    </row>
    <row r="50" ht="15.0" customHeight="1">
      <c r="A50" s="41" t="s">
        <v>897</v>
      </c>
      <c r="B50" s="43">
        <v>28.0</v>
      </c>
      <c r="C50" s="5" t="s">
        <v>138</v>
      </c>
      <c r="D50" s="41" t="s">
        <v>581</v>
      </c>
      <c r="E50" s="41" t="s">
        <v>582</v>
      </c>
      <c r="F50" s="41" t="s">
        <v>218</v>
      </c>
      <c r="G50" s="41" t="s">
        <v>586</v>
      </c>
      <c r="H50" s="41" t="s">
        <v>587</v>
      </c>
      <c r="I50" s="45">
        <v>0.5</v>
      </c>
      <c r="J50" s="41"/>
      <c r="K50" s="41"/>
      <c r="L50" s="41"/>
      <c r="M50" s="41"/>
      <c r="N50" s="41"/>
      <c r="O50" s="41" t="s">
        <v>166</v>
      </c>
      <c r="P50" s="45">
        <f t="shared" si="1"/>
        <v>1</v>
      </c>
      <c r="Q50" s="41"/>
      <c r="R50" s="5" t="s">
        <v>124</v>
      </c>
      <c r="S50" s="46" t="s">
        <v>580</v>
      </c>
      <c r="T50" s="41"/>
      <c r="U50" s="41"/>
      <c r="V50" s="41"/>
    </row>
    <row r="51" ht="15.0" customHeight="1">
      <c r="A51" s="41" t="s">
        <v>898</v>
      </c>
      <c r="B51" s="43">
        <v>28.0</v>
      </c>
      <c r="C51" s="5" t="s">
        <v>138</v>
      </c>
      <c r="D51" s="41" t="s">
        <v>581</v>
      </c>
      <c r="E51" s="41" t="s">
        <v>582</v>
      </c>
      <c r="F51" s="41" t="s">
        <v>218</v>
      </c>
      <c r="G51" s="56" t="s">
        <v>588</v>
      </c>
      <c r="H51" s="41" t="s">
        <v>589</v>
      </c>
      <c r="I51" s="45">
        <v>5.0</v>
      </c>
      <c r="J51" s="41" t="s">
        <v>896</v>
      </c>
      <c r="K51" s="41"/>
      <c r="L51" s="41"/>
      <c r="M51" s="41"/>
      <c r="N51" s="41"/>
      <c r="O51" s="41" t="s">
        <v>166</v>
      </c>
      <c r="P51" s="45">
        <f t="shared" si="1"/>
        <v>1</v>
      </c>
      <c r="Q51" s="41"/>
      <c r="R51" s="5" t="s">
        <v>124</v>
      </c>
      <c r="S51" s="46" t="s">
        <v>580</v>
      </c>
      <c r="T51" s="41"/>
      <c r="U51" s="41"/>
      <c r="V51" s="41"/>
    </row>
    <row r="52" ht="15.0" customHeight="1">
      <c r="A52" s="31" t="s">
        <v>899</v>
      </c>
      <c r="B52" s="32">
        <v>30.0</v>
      </c>
      <c r="C52" s="3" t="s">
        <v>154</v>
      </c>
      <c r="D52" s="31" t="s">
        <v>581</v>
      </c>
      <c r="E52" s="31" t="s">
        <v>623</v>
      </c>
      <c r="F52" s="31" t="s">
        <v>624</v>
      </c>
      <c r="G52" s="31" t="s">
        <v>626</v>
      </c>
      <c r="H52" s="71">
        <v>0.9167</v>
      </c>
      <c r="I52" s="32">
        <v>0.9167</v>
      </c>
      <c r="J52" s="31"/>
      <c r="K52" s="31"/>
      <c r="L52" s="31"/>
      <c r="M52" s="31"/>
      <c r="N52" s="31"/>
      <c r="O52" s="31" t="s">
        <v>166</v>
      </c>
      <c r="P52" s="32">
        <f t="shared" si="1"/>
        <v>1</v>
      </c>
      <c r="Q52" s="31"/>
      <c r="R52" s="3" t="s">
        <v>124</v>
      </c>
      <c r="S52" s="72" t="s">
        <v>621</v>
      </c>
      <c r="T52" s="33" t="s">
        <v>217</v>
      </c>
      <c r="U52" s="31"/>
      <c r="V52" s="34" t="s">
        <v>900</v>
      </c>
    </row>
    <row r="53" ht="15.0" customHeight="1">
      <c r="A53" s="41" t="s">
        <v>901</v>
      </c>
      <c r="B53" s="43">
        <v>32.0</v>
      </c>
      <c r="C53" s="5" t="s">
        <v>138</v>
      </c>
      <c r="D53" s="41" t="s">
        <v>527</v>
      </c>
      <c r="E53" s="41" t="s">
        <v>654</v>
      </c>
      <c r="F53" s="41" t="s">
        <v>189</v>
      </c>
      <c r="G53" s="56" t="s">
        <v>204</v>
      </c>
      <c r="H53" s="41" t="s">
        <v>655</v>
      </c>
      <c r="I53" s="45">
        <v>42.7</v>
      </c>
      <c r="J53" s="41" t="s">
        <v>481</v>
      </c>
      <c r="K53" s="41"/>
      <c r="L53" s="41"/>
      <c r="M53" s="41"/>
      <c r="N53" s="41" t="s">
        <v>530</v>
      </c>
      <c r="O53" s="41" t="s">
        <v>152</v>
      </c>
      <c r="P53" s="45">
        <f t="shared" si="1"/>
        <v>0.5</v>
      </c>
      <c r="Q53" s="41"/>
      <c r="R53" s="5" t="s">
        <v>124</v>
      </c>
      <c r="S53" s="46" t="s">
        <v>526</v>
      </c>
      <c r="T53" s="41"/>
      <c r="U53" s="41"/>
      <c r="V53" s="41"/>
    </row>
    <row r="54" ht="15.0" customHeight="1">
      <c r="A54" s="41" t="s">
        <v>902</v>
      </c>
      <c r="B54" s="43">
        <v>32.0</v>
      </c>
      <c r="C54" s="5" t="s">
        <v>138</v>
      </c>
      <c r="D54" s="41" t="s">
        <v>527</v>
      </c>
      <c r="E54" s="41" t="s">
        <v>654</v>
      </c>
      <c r="F54" s="41" t="s">
        <v>189</v>
      </c>
      <c r="G54" s="56" t="s">
        <v>194</v>
      </c>
      <c r="H54" s="41" t="s">
        <v>532</v>
      </c>
      <c r="I54" s="45"/>
      <c r="J54" s="41"/>
      <c r="K54" s="41"/>
      <c r="L54" s="41"/>
      <c r="M54" s="41"/>
      <c r="N54" s="41" t="s">
        <v>530</v>
      </c>
      <c r="O54" s="41" t="s">
        <v>152</v>
      </c>
      <c r="P54" s="45">
        <f t="shared" si="1"/>
        <v>0.5</v>
      </c>
      <c r="Q54" s="41"/>
      <c r="R54" s="5" t="s">
        <v>124</v>
      </c>
      <c r="S54" s="46" t="s">
        <v>526</v>
      </c>
      <c r="T54" s="41"/>
      <c r="U54" s="41"/>
      <c r="V54" s="41"/>
    </row>
    <row r="55" ht="15.0" customHeight="1">
      <c r="A55" s="41" t="s">
        <v>915</v>
      </c>
      <c r="B55" s="43">
        <v>33.0</v>
      </c>
      <c r="C55" s="5" t="s">
        <v>138</v>
      </c>
      <c r="D55" s="41" t="s">
        <v>657</v>
      </c>
      <c r="E55" s="41" t="s">
        <v>341</v>
      </c>
      <c r="F55" s="41" t="s">
        <v>205</v>
      </c>
      <c r="G55" s="56" t="s">
        <v>342</v>
      </c>
      <c r="H55" s="41" t="s">
        <v>659</v>
      </c>
      <c r="I55" s="45">
        <v>13.4</v>
      </c>
      <c r="J55" s="41" t="s">
        <v>653</v>
      </c>
      <c r="K55" s="41"/>
      <c r="L55" s="41"/>
      <c r="M55" s="41"/>
      <c r="N55" s="41" t="s">
        <v>658</v>
      </c>
      <c r="O55" s="41" t="s">
        <v>166</v>
      </c>
      <c r="P55" s="45">
        <f t="shared" si="1"/>
        <v>1</v>
      </c>
      <c r="Q55" s="41"/>
      <c r="R55" s="5" t="s">
        <v>124</v>
      </c>
      <c r="S55" s="46" t="s">
        <v>338</v>
      </c>
      <c r="T55" s="41"/>
      <c r="U55" s="41"/>
      <c r="V55" s="41"/>
    </row>
    <row r="56" ht="15.0" customHeight="1">
      <c r="A56" s="41" t="s">
        <v>966</v>
      </c>
      <c r="B56" s="43">
        <v>33.0</v>
      </c>
      <c r="C56" s="5" t="s">
        <v>138</v>
      </c>
      <c r="D56" s="41" t="s">
        <v>657</v>
      </c>
      <c r="E56" s="41" t="s">
        <v>341</v>
      </c>
      <c r="F56" s="41" t="s">
        <v>205</v>
      </c>
      <c r="G56" s="56" t="s">
        <v>344</v>
      </c>
      <c r="H56" s="41" t="s">
        <v>660</v>
      </c>
      <c r="I56" s="45">
        <v>2.28</v>
      </c>
      <c r="J56" s="41" t="s">
        <v>249</v>
      </c>
      <c r="K56" s="41"/>
      <c r="L56" s="41"/>
      <c r="M56" s="41"/>
      <c r="N56" s="41" t="s">
        <v>658</v>
      </c>
      <c r="O56" s="41" t="s">
        <v>166</v>
      </c>
      <c r="P56" s="45">
        <f t="shared" si="1"/>
        <v>1</v>
      </c>
      <c r="Q56" s="41"/>
      <c r="R56" s="5" t="s">
        <v>124</v>
      </c>
      <c r="S56" s="46" t="s">
        <v>338</v>
      </c>
      <c r="T56" s="41"/>
      <c r="U56" s="41"/>
      <c r="V56" s="41"/>
    </row>
    <row r="57" ht="15.0" customHeight="1">
      <c r="A57" s="31" t="s">
        <v>985</v>
      </c>
      <c r="B57" s="32">
        <v>34.0</v>
      </c>
      <c r="C57" s="3" t="s">
        <v>154</v>
      </c>
      <c r="D57" s="31" t="s">
        <v>306</v>
      </c>
      <c r="E57" s="31" t="s">
        <v>307</v>
      </c>
      <c r="F57" s="31" t="s">
        <v>988</v>
      </c>
      <c r="G57" s="31" t="s">
        <v>309</v>
      </c>
      <c r="H57" s="33" t="s">
        <v>990</v>
      </c>
      <c r="I57" s="32">
        <v>95.0</v>
      </c>
      <c r="J57" s="31" t="s">
        <v>129</v>
      </c>
      <c r="K57" s="31"/>
      <c r="L57" s="31"/>
      <c r="M57" s="31"/>
      <c r="N57" s="31"/>
      <c r="O57" s="31" t="s">
        <v>166</v>
      </c>
      <c r="P57" s="32">
        <f t="shared" si="1"/>
        <v>1</v>
      </c>
      <c r="Q57" s="31"/>
      <c r="R57" s="3" t="s">
        <v>124</v>
      </c>
      <c r="S57" s="34" t="s">
        <v>304</v>
      </c>
      <c r="T57" s="33" t="s">
        <v>217</v>
      </c>
      <c r="U57" s="31"/>
      <c r="V57" s="34" t="s">
        <v>1006</v>
      </c>
    </row>
    <row r="58" ht="15.0" customHeight="1">
      <c r="A58" s="31" t="s">
        <v>1012</v>
      </c>
      <c r="B58" s="32">
        <v>35.0</v>
      </c>
      <c r="C58" s="3" t="s">
        <v>154</v>
      </c>
      <c r="D58" s="31" t="s">
        <v>679</v>
      </c>
      <c r="E58" s="31" t="s">
        <v>680</v>
      </c>
      <c r="F58" s="31" t="s">
        <v>205</v>
      </c>
      <c r="G58" s="31" t="s">
        <v>685</v>
      </c>
      <c r="H58" s="31" t="s">
        <v>1028</v>
      </c>
      <c r="I58" s="32">
        <v>4.0</v>
      </c>
      <c r="J58" s="31" t="s">
        <v>407</v>
      </c>
      <c r="K58" s="31"/>
      <c r="L58" s="31"/>
      <c r="M58" s="31"/>
      <c r="N58" s="31" t="s">
        <v>684</v>
      </c>
      <c r="O58" s="31" t="s">
        <v>152</v>
      </c>
      <c r="P58" s="32">
        <f t="shared" si="1"/>
        <v>0.5</v>
      </c>
      <c r="Q58" s="31"/>
      <c r="R58" s="3" t="s">
        <v>124</v>
      </c>
      <c r="S58" s="72" t="s">
        <v>1040</v>
      </c>
      <c r="T58" s="33" t="s">
        <v>217</v>
      </c>
      <c r="U58" s="31"/>
      <c r="V58" s="34" t="s">
        <v>1057</v>
      </c>
    </row>
    <row r="59" ht="15.0" customHeight="1">
      <c r="A59" s="31" t="s">
        <v>1063</v>
      </c>
      <c r="B59" s="32">
        <v>36.0</v>
      </c>
      <c r="C59" s="3" t="s">
        <v>154</v>
      </c>
      <c r="D59" s="31" t="s">
        <v>696</v>
      </c>
      <c r="E59" s="31" t="s">
        <v>113</v>
      </c>
      <c r="F59" s="31" t="s">
        <v>205</v>
      </c>
      <c r="G59" s="31" t="s">
        <v>698</v>
      </c>
      <c r="H59" s="31" t="s">
        <v>1072</v>
      </c>
      <c r="I59" s="32">
        <v>0.77</v>
      </c>
      <c r="J59" s="31"/>
      <c r="K59" s="31"/>
      <c r="L59" s="31"/>
      <c r="M59" s="31"/>
      <c r="N59" s="31" t="s">
        <v>697</v>
      </c>
      <c r="O59" s="31" t="s">
        <v>166</v>
      </c>
      <c r="P59" s="32">
        <f t="shared" si="1"/>
        <v>1</v>
      </c>
      <c r="Q59" s="31"/>
      <c r="R59" s="3" t="s">
        <v>124</v>
      </c>
      <c r="S59" s="72" t="s">
        <v>695</v>
      </c>
      <c r="T59" s="31"/>
      <c r="U59" s="31"/>
      <c r="V59" s="31"/>
    </row>
    <row r="60" ht="15.0" customHeight="1">
      <c r="A60" s="14" t="s">
        <v>1079</v>
      </c>
      <c r="B60" s="28">
        <v>37.0</v>
      </c>
      <c r="C60" s="9" t="s">
        <v>120</v>
      </c>
      <c r="D60" s="14" t="s">
        <v>195</v>
      </c>
      <c r="E60" s="14" t="s">
        <v>383</v>
      </c>
      <c r="F60" s="14" t="s">
        <v>708</v>
      </c>
      <c r="G60" s="59" t="s">
        <v>130</v>
      </c>
      <c r="H60" s="23" t="s">
        <v>1080</v>
      </c>
      <c r="I60" s="29">
        <v>23.6</v>
      </c>
      <c r="J60" s="23" t="s">
        <v>1081</v>
      </c>
      <c r="K60" s="23" t="s">
        <v>184</v>
      </c>
      <c r="L60" s="23" t="s">
        <v>885</v>
      </c>
      <c r="M60" s="14"/>
      <c r="N60" s="14" t="s">
        <v>709</v>
      </c>
      <c r="O60" s="14" t="s">
        <v>135</v>
      </c>
      <c r="P60" s="17">
        <f t="shared" si="1"/>
        <v>0.25</v>
      </c>
      <c r="Q60" s="23" t="s">
        <v>123</v>
      </c>
      <c r="R60" s="9" t="s">
        <v>124</v>
      </c>
      <c r="S60" s="26" t="s">
        <v>381</v>
      </c>
      <c r="T60" s="23" t="s">
        <v>351</v>
      </c>
      <c r="U60" s="27">
        <v>46276.0</v>
      </c>
      <c r="V60" s="58" t="s">
        <v>1082</v>
      </c>
    </row>
    <row r="61" ht="15.0" customHeight="1">
      <c r="A61" s="14" t="s">
        <v>1083</v>
      </c>
      <c r="B61" s="28">
        <v>37.0</v>
      </c>
      <c r="C61" s="9" t="s">
        <v>120</v>
      </c>
      <c r="D61" s="14" t="s">
        <v>195</v>
      </c>
      <c r="E61" s="14" t="s">
        <v>383</v>
      </c>
      <c r="F61" s="14" t="s">
        <v>708</v>
      </c>
      <c r="G61" s="14" t="s">
        <v>711</v>
      </c>
      <c r="H61" s="23" t="s">
        <v>1084</v>
      </c>
      <c r="I61" s="17"/>
      <c r="J61" s="14"/>
      <c r="K61" s="23" t="s">
        <v>184</v>
      </c>
      <c r="L61" s="14"/>
      <c r="M61" s="14"/>
      <c r="N61" s="14" t="s">
        <v>709</v>
      </c>
      <c r="O61" s="14" t="s">
        <v>135</v>
      </c>
      <c r="P61" s="17">
        <f t="shared" si="1"/>
        <v>0.25</v>
      </c>
      <c r="Q61" s="23" t="s">
        <v>123</v>
      </c>
      <c r="R61" s="9" t="s">
        <v>124</v>
      </c>
      <c r="S61" s="26" t="s">
        <v>381</v>
      </c>
      <c r="T61" s="23" t="s">
        <v>351</v>
      </c>
      <c r="U61" s="27">
        <v>46276.0</v>
      </c>
      <c r="V61" s="58" t="s">
        <v>1085</v>
      </c>
    </row>
    <row r="62" ht="15.0" customHeight="1">
      <c r="A62" s="41" t="s">
        <v>1086</v>
      </c>
      <c r="B62" s="43">
        <v>38.0</v>
      </c>
      <c r="C62" s="5" t="s">
        <v>138</v>
      </c>
      <c r="D62" s="41" t="s">
        <v>724</v>
      </c>
      <c r="E62" s="41" t="s">
        <v>725</v>
      </c>
      <c r="F62" s="41" t="s">
        <v>145</v>
      </c>
      <c r="G62" s="56" t="s">
        <v>727</v>
      </c>
      <c r="H62" s="41" t="s">
        <v>729</v>
      </c>
      <c r="I62" s="45"/>
      <c r="J62" s="41"/>
      <c r="K62" s="41"/>
      <c r="L62" s="41"/>
      <c r="M62" s="41"/>
      <c r="N62" s="41" t="s">
        <v>726</v>
      </c>
      <c r="O62" s="41" t="s">
        <v>166</v>
      </c>
      <c r="P62" s="45">
        <f t="shared" si="1"/>
        <v>1</v>
      </c>
      <c r="Q62" s="41"/>
      <c r="R62" s="5" t="s">
        <v>124</v>
      </c>
      <c r="S62" s="46" t="s">
        <v>723</v>
      </c>
      <c r="T62" s="41"/>
      <c r="U62" s="41"/>
      <c r="V62" s="41"/>
    </row>
    <row r="63" ht="15.0" customHeight="1">
      <c r="A63" s="41" t="s">
        <v>1087</v>
      </c>
      <c r="B63" s="43">
        <v>38.0</v>
      </c>
      <c r="C63" s="5" t="s">
        <v>138</v>
      </c>
      <c r="D63" s="41" t="s">
        <v>724</v>
      </c>
      <c r="E63" s="41" t="s">
        <v>725</v>
      </c>
      <c r="F63" s="41" t="s">
        <v>145</v>
      </c>
      <c r="G63" s="41" t="s">
        <v>730</v>
      </c>
      <c r="H63" s="46" t="s">
        <v>731</v>
      </c>
      <c r="I63" s="45"/>
      <c r="J63" s="41"/>
      <c r="K63" s="41"/>
      <c r="L63" s="41"/>
      <c r="M63" s="41"/>
      <c r="N63" s="41" t="s">
        <v>726</v>
      </c>
      <c r="O63" s="41" t="s">
        <v>166</v>
      </c>
      <c r="P63" s="45">
        <f t="shared" si="1"/>
        <v>1</v>
      </c>
      <c r="Q63" s="41"/>
      <c r="R63" s="5" t="s">
        <v>124</v>
      </c>
      <c r="S63" s="46" t="s">
        <v>723</v>
      </c>
      <c r="T63" s="41"/>
      <c r="U63" s="41"/>
      <c r="V63" s="41"/>
    </row>
    <row r="64" ht="15.0" customHeight="1">
      <c r="A64" s="41" t="s">
        <v>1088</v>
      </c>
      <c r="B64" s="43">
        <v>38.0</v>
      </c>
      <c r="C64" s="5" t="s">
        <v>138</v>
      </c>
      <c r="D64" s="41" t="s">
        <v>724</v>
      </c>
      <c r="E64" s="41" t="s">
        <v>725</v>
      </c>
      <c r="F64" s="41" t="s">
        <v>145</v>
      </c>
      <c r="G64" s="41" t="s">
        <v>732</v>
      </c>
      <c r="H64" s="46" t="s">
        <v>733</v>
      </c>
      <c r="I64" s="45"/>
      <c r="J64" s="41"/>
      <c r="K64" s="41"/>
      <c r="L64" s="41"/>
      <c r="M64" s="41"/>
      <c r="N64" s="41" t="s">
        <v>726</v>
      </c>
      <c r="O64" s="41" t="s">
        <v>166</v>
      </c>
      <c r="P64" s="45">
        <f t="shared" si="1"/>
        <v>1</v>
      </c>
      <c r="Q64" s="41"/>
      <c r="R64" s="5" t="s">
        <v>124</v>
      </c>
      <c r="S64" s="46" t="s">
        <v>723</v>
      </c>
      <c r="T64" s="41"/>
      <c r="U64" s="41"/>
      <c r="V64" s="41"/>
    </row>
    <row r="65" ht="15.0" customHeight="1">
      <c r="A65" s="41" t="s">
        <v>1089</v>
      </c>
      <c r="B65" s="43">
        <v>38.0</v>
      </c>
      <c r="C65" s="5" t="s">
        <v>138</v>
      </c>
      <c r="D65" s="41" t="s">
        <v>724</v>
      </c>
      <c r="E65" s="41" t="s">
        <v>725</v>
      </c>
      <c r="F65" s="41" t="s">
        <v>145</v>
      </c>
      <c r="G65" s="41" t="s">
        <v>734</v>
      </c>
      <c r="H65" s="41" t="s">
        <v>735</v>
      </c>
      <c r="I65" s="45"/>
      <c r="J65" s="41"/>
      <c r="K65" s="41"/>
      <c r="L65" s="41"/>
      <c r="M65" s="41"/>
      <c r="N65" s="41" t="s">
        <v>726</v>
      </c>
      <c r="O65" s="41" t="s">
        <v>166</v>
      </c>
      <c r="P65" s="45">
        <f t="shared" si="1"/>
        <v>1</v>
      </c>
      <c r="Q65" s="41"/>
      <c r="R65" s="5" t="s">
        <v>124</v>
      </c>
      <c r="S65" s="46" t="s">
        <v>723</v>
      </c>
      <c r="T65" s="41"/>
      <c r="U65" s="41"/>
      <c r="V65" s="41"/>
    </row>
    <row r="66" ht="15.0" customHeight="1">
      <c r="A66" s="31" t="s">
        <v>1090</v>
      </c>
      <c r="B66" s="74">
        <v>39.0</v>
      </c>
      <c r="C66" s="3" t="s">
        <v>154</v>
      </c>
      <c r="D66" s="31" t="s">
        <v>724</v>
      </c>
      <c r="E66" s="31" t="s">
        <v>725</v>
      </c>
      <c r="F66" s="31" t="s">
        <v>145</v>
      </c>
      <c r="G66" s="31" t="s">
        <v>727</v>
      </c>
      <c r="H66" s="31" t="s">
        <v>729</v>
      </c>
      <c r="I66" s="75" t="s">
        <v>1091</v>
      </c>
      <c r="J66" s="33" t="s">
        <v>481</v>
      </c>
      <c r="K66" s="33" t="s">
        <v>1092</v>
      </c>
      <c r="L66" s="31"/>
      <c r="M66" s="33" t="s">
        <v>1093</v>
      </c>
      <c r="N66" s="33" t="s">
        <v>1094</v>
      </c>
      <c r="O66" s="31" t="s">
        <v>166</v>
      </c>
      <c r="P66" s="32">
        <f t="shared" si="1"/>
        <v>1</v>
      </c>
      <c r="Q66" s="31"/>
      <c r="R66" s="3" t="s">
        <v>124</v>
      </c>
      <c r="S66" s="72" t="s">
        <v>723</v>
      </c>
      <c r="T66" s="33" t="s">
        <v>217</v>
      </c>
      <c r="U66" s="31"/>
      <c r="V66" s="33" t="s">
        <v>1095</v>
      </c>
    </row>
    <row r="67" ht="15.0" customHeight="1">
      <c r="A67" s="31" t="s">
        <v>1096</v>
      </c>
      <c r="B67" s="74">
        <v>39.0</v>
      </c>
      <c r="C67" s="3" t="s">
        <v>154</v>
      </c>
      <c r="D67" s="31" t="s">
        <v>724</v>
      </c>
      <c r="E67" s="31" t="s">
        <v>725</v>
      </c>
      <c r="F67" s="31" t="s">
        <v>145</v>
      </c>
      <c r="G67" s="31" t="s">
        <v>730</v>
      </c>
      <c r="H67" s="72" t="s">
        <v>743</v>
      </c>
      <c r="I67" s="76"/>
      <c r="J67" s="31"/>
      <c r="K67" s="31"/>
      <c r="L67" s="31"/>
      <c r="M67" s="31"/>
      <c r="N67" s="33" t="s">
        <v>1097</v>
      </c>
      <c r="O67" s="31" t="s">
        <v>166</v>
      </c>
      <c r="P67" s="32">
        <f t="shared" si="1"/>
        <v>1</v>
      </c>
      <c r="Q67" s="31"/>
      <c r="R67" s="3" t="s">
        <v>124</v>
      </c>
      <c r="S67" s="72" t="s">
        <v>723</v>
      </c>
      <c r="T67" s="33" t="s">
        <v>217</v>
      </c>
      <c r="U67" s="31"/>
      <c r="V67" s="33" t="s">
        <v>1095</v>
      </c>
    </row>
    <row r="68" ht="15.0" customHeight="1">
      <c r="A68" s="31" t="s">
        <v>1098</v>
      </c>
      <c r="B68" s="74">
        <v>39.0</v>
      </c>
      <c r="C68" s="3" t="s">
        <v>154</v>
      </c>
      <c r="D68" s="31" t="s">
        <v>724</v>
      </c>
      <c r="E68" s="31" t="s">
        <v>725</v>
      </c>
      <c r="F68" s="31" t="s">
        <v>145</v>
      </c>
      <c r="G68" s="31" t="s">
        <v>732</v>
      </c>
      <c r="H68" s="31" t="s">
        <v>744</v>
      </c>
      <c r="I68" s="75">
        <v>16.0</v>
      </c>
      <c r="J68" s="33" t="s">
        <v>1099</v>
      </c>
      <c r="K68" s="31"/>
      <c r="L68" s="31"/>
      <c r="M68" s="31"/>
      <c r="N68" s="33" t="s">
        <v>1100</v>
      </c>
      <c r="O68" s="31" t="s">
        <v>166</v>
      </c>
      <c r="P68" s="32">
        <f t="shared" si="1"/>
        <v>1</v>
      </c>
      <c r="Q68" s="31"/>
      <c r="R68" s="3" t="s">
        <v>124</v>
      </c>
      <c r="S68" s="72" t="s">
        <v>723</v>
      </c>
      <c r="T68" s="33" t="s">
        <v>217</v>
      </c>
      <c r="U68" s="31"/>
      <c r="V68" s="33" t="s">
        <v>1095</v>
      </c>
    </row>
    <row r="69" ht="15.0" customHeight="1">
      <c r="A69" s="31" t="s">
        <v>1101</v>
      </c>
      <c r="B69" s="74">
        <v>39.0</v>
      </c>
      <c r="C69" s="3" t="s">
        <v>154</v>
      </c>
      <c r="D69" s="31" t="s">
        <v>724</v>
      </c>
      <c r="E69" s="31" t="s">
        <v>725</v>
      </c>
      <c r="F69" s="31" t="s">
        <v>145</v>
      </c>
      <c r="G69" s="31" t="s">
        <v>734</v>
      </c>
      <c r="H69" s="31" t="s">
        <v>745</v>
      </c>
      <c r="I69" s="75">
        <v>6.0</v>
      </c>
      <c r="J69" s="33" t="s">
        <v>1099</v>
      </c>
      <c r="K69" s="31"/>
      <c r="L69" s="31"/>
      <c r="M69" s="31"/>
      <c r="N69" s="33" t="s">
        <v>1102</v>
      </c>
      <c r="O69" s="31" t="s">
        <v>166</v>
      </c>
      <c r="P69" s="32">
        <f t="shared" si="1"/>
        <v>1</v>
      </c>
      <c r="Q69" s="31"/>
      <c r="R69" s="3" t="s">
        <v>124</v>
      </c>
      <c r="S69" s="72" t="s">
        <v>723</v>
      </c>
      <c r="T69" s="33" t="s">
        <v>217</v>
      </c>
      <c r="U69" s="31"/>
      <c r="V69" s="33" t="s">
        <v>1095</v>
      </c>
    </row>
    <row r="70" ht="15.0" customHeight="1">
      <c r="A70" s="31" t="s">
        <v>1103</v>
      </c>
      <c r="B70" s="74">
        <v>40.0</v>
      </c>
      <c r="C70" s="3" t="s">
        <v>154</v>
      </c>
      <c r="D70" s="31" t="s">
        <v>724</v>
      </c>
      <c r="E70" s="31" t="s">
        <v>725</v>
      </c>
      <c r="F70" s="31" t="s">
        <v>145</v>
      </c>
      <c r="G70" s="31" t="s">
        <v>727</v>
      </c>
      <c r="H70" s="31" t="s">
        <v>729</v>
      </c>
      <c r="I70" s="75" t="s">
        <v>1091</v>
      </c>
      <c r="J70" s="33" t="s">
        <v>481</v>
      </c>
      <c r="K70" s="33" t="s">
        <v>1092</v>
      </c>
      <c r="L70" s="31"/>
      <c r="M70" s="33" t="s">
        <v>1093</v>
      </c>
      <c r="N70" s="33" t="s">
        <v>1094</v>
      </c>
      <c r="O70" s="31" t="s">
        <v>166</v>
      </c>
      <c r="P70" s="32">
        <f t="shared" si="1"/>
        <v>1</v>
      </c>
      <c r="Q70" s="31"/>
      <c r="R70" s="3" t="s">
        <v>124</v>
      </c>
      <c r="S70" s="72" t="s">
        <v>723</v>
      </c>
      <c r="T70" s="33" t="s">
        <v>217</v>
      </c>
      <c r="U70" s="31"/>
      <c r="V70" s="33" t="s">
        <v>1095</v>
      </c>
    </row>
    <row r="71" ht="15.0" customHeight="1">
      <c r="A71" s="31" t="s">
        <v>1104</v>
      </c>
      <c r="B71" s="74">
        <v>40.0</v>
      </c>
      <c r="C71" s="3" t="s">
        <v>154</v>
      </c>
      <c r="D71" s="31" t="s">
        <v>724</v>
      </c>
      <c r="E71" s="31" t="s">
        <v>725</v>
      </c>
      <c r="F71" s="31" t="s">
        <v>145</v>
      </c>
      <c r="G71" s="31" t="s">
        <v>730</v>
      </c>
      <c r="H71" s="72" t="s">
        <v>749</v>
      </c>
      <c r="I71" s="76"/>
      <c r="J71" s="31"/>
      <c r="K71" s="31"/>
      <c r="L71" s="31"/>
      <c r="M71" s="31"/>
      <c r="N71" s="33" t="s">
        <v>1097</v>
      </c>
      <c r="O71" s="31" t="s">
        <v>166</v>
      </c>
      <c r="P71" s="32">
        <f t="shared" si="1"/>
        <v>1</v>
      </c>
      <c r="Q71" s="31"/>
      <c r="R71" s="3" t="s">
        <v>124</v>
      </c>
      <c r="S71" s="72" t="s">
        <v>723</v>
      </c>
      <c r="T71" s="33" t="s">
        <v>217</v>
      </c>
      <c r="U71" s="31"/>
      <c r="V71" s="33" t="s">
        <v>1095</v>
      </c>
    </row>
    <row r="72" ht="15.0" customHeight="1">
      <c r="A72" s="31" t="s">
        <v>1105</v>
      </c>
      <c r="B72" s="74">
        <v>40.0</v>
      </c>
      <c r="C72" s="3" t="s">
        <v>154</v>
      </c>
      <c r="D72" s="31" t="s">
        <v>724</v>
      </c>
      <c r="E72" s="31" t="s">
        <v>725</v>
      </c>
      <c r="F72" s="31" t="s">
        <v>145</v>
      </c>
      <c r="G72" s="31" t="s">
        <v>732</v>
      </c>
      <c r="H72" s="31" t="s">
        <v>750</v>
      </c>
      <c r="I72" s="75">
        <v>12.0</v>
      </c>
      <c r="J72" s="33" t="s">
        <v>1099</v>
      </c>
      <c r="K72" s="31"/>
      <c r="L72" s="31"/>
      <c r="M72" s="31"/>
      <c r="N72" s="33" t="s">
        <v>1106</v>
      </c>
      <c r="O72" s="31" t="s">
        <v>166</v>
      </c>
      <c r="P72" s="32">
        <f t="shared" si="1"/>
        <v>1</v>
      </c>
      <c r="Q72" s="31"/>
      <c r="R72" s="3" t="s">
        <v>124</v>
      </c>
      <c r="S72" s="72" t="s">
        <v>723</v>
      </c>
      <c r="T72" s="33" t="s">
        <v>217</v>
      </c>
      <c r="U72" s="31"/>
      <c r="V72" s="33" t="s">
        <v>1095</v>
      </c>
    </row>
    <row r="73" ht="15.0" customHeight="1">
      <c r="A73" s="31" t="s">
        <v>1107</v>
      </c>
      <c r="B73" s="74">
        <v>40.0</v>
      </c>
      <c r="C73" s="3" t="s">
        <v>154</v>
      </c>
      <c r="D73" s="31" t="s">
        <v>724</v>
      </c>
      <c r="E73" s="31" t="s">
        <v>725</v>
      </c>
      <c r="F73" s="31" t="s">
        <v>145</v>
      </c>
      <c r="G73" s="31" t="s">
        <v>734</v>
      </c>
      <c r="H73" s="31" t="s">
        <v>745</v>
      </c>
      <c r="I73" s="75">
        <v>6.0</v>
      </c>
      <c r="J73" s="33" t="s">
        <v>1099</v>
      </c>
      <c r="K73" s="31"/>
      <c r="L73" s="31"/>
      <c r="M73" s="31"/>
      <c r="N73" s="33" t="s">
        <v>1102</v>
      </c>
      <c r="O73" s="31" t="s">
        <v>166</v>
      </c>
      <c r="P73" s="32">
        <f t="shared" si="1"/>
        <v>1</v>
      </c>
      <c r="Q73" s="31"/>
      <c r="R73" s="3" t="s">
        <v>124</v>
      </c>
      <c r="S73" s="72" t="s">
        <v>723</v>
      </c>
      <c r="T73" s="33" t="s">
        <v>217</v>
      </c>
      <c r="U73" s="31"/>
      <c r="V73" s="33" t="s">
        <v>1095</v>
      </c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57"/>
      <c r="T74" s="7"/>
      <c r="U74" s="7"/>
      <c r="V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57"/>
      <c r="T75" s="7"/>
      <c r="U75" s="7"/>
      <c r="V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57"/>
      <c r="T76" s="7"/>
      <c r="U76" s="7"/>
      <c r="V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57"/>
      <c r="T77" s="7"/>
      <c r="U77" s="7"/>
      <c r="V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57"/>
      <c r="T78" s="7"/>
      <c r="U78" s="7"/>
      <c r="V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57"/>
      <c r="T79" s="7"/>
      <c r="U79" s="7"/>
      <c r="V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57"/>
      <c r="T80" s="7"/>
      <c r="U80" s="7"/>
      <c r="V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57"/>
      <c r="T81" s="7"/>
      <c r="U81" s="7"/>
      <c r="V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57"/>
      <c r="T82" s="7"/>
      <c r="U82" s="7"/>
      <c r="V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57"/>
      <c r="T83" s="7"/>
      <c r="U83" s="7"/>
      <c r="V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57"/>
      <c r="T84" s="7"/>
      <c r="U84" s="7"/>
      <c r="V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57"/>
      <c r="T85" s="7"/>
      <c r="U85" s="7"/>
      <c r="V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57"/>
      <c r="T86" s="7"/>
      <c r="U86" s="7"/>
      <c r="V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57"/>
      <c r="T87" s="7"/>
      <c r="U87" s="7"/>
      <c r="V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57"/>
      <c r="T88" s="7"/>
      <c r="U88" s="7"/>
      <c r="V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57"/>
      <c r="T89" s="7"/>
      <c r="U89" s="7"/>
      <c r="V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57"/>
      <c r="T90" s="7"/>
      <c r="U90" s="7"/>
      <c r="V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57"/>
      <c r="T91" s="7"/>
      <c r="U91" s="7"/>
      <c r="V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57"/>
      <c r="T92" s="7"/>
      <c r="U92" s="7"/>
      <c r="V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57"/>
      <c r="T93" s="7"/>
      <c r="U93" s="7"/>
      <c r="V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57"/>
      <c r="T94" s="7"/>
      <c r="U94" s="7"/>
      <c r="V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57"/>
      <c r="T95" s="7"/>
      <c r="U95" s="7"/>
      <c r="V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57"/>
      <c r="T96" s="7"/>
      <c r="U96" s="7"/>
      <c r="V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57"/>
      <c r="T97" s="7"/>
      <c r="U97" s="7"/>
      <c r="V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57"/>
      <c r="T98" s="7"/>
      <c r="U98" s="7"/>
      <c r="V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57"/>
      <c r="T99" s="7"/>
      <c r="U99" s="7"/>
      <c r="V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57"/>
      <c r="T100" s="7"/>
      <c r="U100" s="7"/>
      <c r="V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57"/>
      <c r="T101" s="7"/>
      <c r="U101" s="7"/>
      <c r="V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57"/>
      <c r="T102" s="7"/>
      <c r="U102" s="7"/>
      <c r="V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57"/>
      <c r="T103" s="7"/>
      <c r="U103" s="7"/>
      <c r="V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57"/>
      <c r="T104" s="7"/>
      <c r="U104" s="7"/>
      <c r="V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57"/>
      <c r="T105" s="7"/>
      <c r="U105" s="7"/>
      <c r="V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57"/>
      <c r="T106" s="7"/>
      <c r="U106" s="7"/>
      <c r="V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57"/>
      <c r="T107" s="7"/>
      <c r="U107" s="7"/>
      <c r="V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57"/>
      <c r="T108" s="7"/>
      <c r="U108" s="7"/>
      <c r="V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57"/>
      <c r="T109" s="7"/>
      <c r="U109" s="7"/>
      <c r="V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57"/>
      <c r="T110" s="7"/>
      <c r="U110" s="7"/>
      <c r="V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57"/>
      <c r="T111" s="7"/>
      <c r="U111" s="7"/>
      <c r="V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57"/>
      <c r="T112" s="7"/>
      <c r="U112" s="7"/>
      <c r="V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57"/>
      <c r="T113" s="7"/>
      <c r="U113" s="7"/>
      <c r="V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57"/>
      <c r="T114" s="7"/>
      <c r="U114" s="7"/>
      <c r="V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57"/>
      <c r="T115" s="7"/>
      <c r="U115" s="7"/>
      <c r="V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57"/>
      <c r="T116" s="7"/>
      <c r="U116" s="7"/>
      <c r="V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57"/>
      <c r="T117" s="7"/>
      <c r="U117" s="7"/>
      <c r="V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57"/>
      <c r="T118" s="7"/>
      <c r="U118" s="7"/>
      <c r="V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57"/>
      <c r="T119" s="7"/>
      <c r="U119" s="7"/>
      <c r="V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57"/>
      <c r="T120" s="7"/>
      <c r="U120" s="7"/>
      <c r="V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57"/>
      <c r="T121" s="7"/>
      <c r="U121" s="7"/>
      <c r="V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57"/>
      <c r="T122" s="7"/>
      <c r="U122" s="7"/>
      <c r="V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57"/>
      <c r="T123" s="7"/>
      <c r="U123" s="7"/>
      <c r="V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57"/>
      <c r="T124" s="7"/>
      <c r="U124" s="7"/>
      <c r="V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57"/>
      <c r="T125" s="7"/>
      <c r="U125" s="7"/>
      <c r="V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57"/>
      <c r="T126" s="7"/>
      <c r="U126" s="7"/>
      <c r="V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57"/>
      <c r="T127" s="7"/>
      <c r="U127" s="7"/>
      <c r="V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57"/>
      <c r="T128" s="7"/>
      <c r="U128" s="7"/>
      <c r="V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57"/>
      <c r="T129" s="7"/>
      <c r="U129" s="7"/>
      <c r="V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57"/>
      <c r="T130" s="7"/>
      <c r="U130" s="7"/>
      <c r="V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57"/>
      <c r="T131" s="7"/>
      <c r="U131" s="7"/>
      <c r="V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57"/>
      <c r="T132" s="7"/>
      <c r="U132" s="7"/>
      <c r="V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57"/>
      <c r="T133" s="7"/>
      <c r="U133" s="7"/>
      <c r="V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57"/>
      <c r="T134" s="7"/>
      <c r="U134" s="7"/>
      <c r="V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57"/>
      <c r="T135" s="7"/>
      <c r="U135" s="7"/>
      <c r="V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57"/>
      <c r="T136" s="7"/>
      <c r="U136" s="7"/>
      <c r="V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57"/>
      <c r="T137" s="7"/>
      <c r="U137" s="7"/>
      <c r="V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57"/>
      <c r="T138" s="7"/>
      <c r="U138" s="7"/>
      <c r="V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57"/>
      <c r="T139" s="7"/>
      <c r="U139" s="7"/>
      <c r="V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57"/>
      <c r="T140" s="7"/>
      <c r="U140" s="7"/>
      <c r="V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57"/>
      <c r="T141" s="7"/>
      <c r="U141" s="7"/>
      <c r="V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57"/>
      <c r="T142" s="7"/>
      <c r="U142" s="7"/>
      <c r="V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57"/>
      <c r="T143" s="7"/>
      <c r="U143" s="7"/>
      <c r="V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57"/>
      <c r="T144" s="7"/>
      <c r="U144" s="7"/>
      <c r="V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57"/>
      <c r="T145" s="7"/>
      <c r="U145" s="7"/>
      <c r="V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57"/>
      <c r="T146" s="7"/>
      <c r="U146" s="7"/>
      <c r="V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57"/>
      <c r="T147" s="7"/>
      <c r="U147" s="7"/>
      <c r="V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57"/>
      <c r="T148" s="7"/>
      <c r="U148" s="7"/>
      <c r="V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57"/>
      <c r="T149" s="7"/>
      <c r="U149" s="7"/>
      <c r="V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57"/>
      <c r="T150" s="7"/>
      <c r="U150" s="7"/>
      <c r="V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57"/>
      <c r="T151" s="7"/>
      <c r="U151" s="7"/>
      <c r="V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57"/>
      <c r="T152" s="7"/>
      <c r="U152" s="7"/>
      <c r="V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57"/>
      <c r="T153" s="7"/>
      <c r="U153" s="7"/>
      <c r="V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57"/>
      <c r="T154" s="7"/>
      <c r="U154" s="7"/>
      <c r="V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57"/>
      <c r="T155" s="7"/>
      <c r="U155" s="7"/>
      <c r="V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57"/>
      <c r="T156" s="7"/>
      <c r="U156" s="7"/>
      <c r="V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57"/>
      <c r="T157" s="7"/>
      <c r="U157" s="7"/>
      <c r="V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57"/>
      <c r="T158" s="7"/>
      <c r="U158" s="7"/>
      <c r="V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57"/>
      <c r="T159" s="7"/>
      <c r="U159" s="7"/>
      <c r="V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57"/>
      <c r="T160" s="7"/>
      <c r="U160" s="7"/>
      <c r="V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57"/>
      <c r="T161" s="7"/>
      <c r="U161" s="7"/>
      <c r="V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57"/>
      <c r="T162" s="7"/>
      <c r="U162" s="7"/>
      <c r="V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57"/>
      <c r="T163" s="7"/>
      <c r="U163" s="7"/>
      <c r="V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57"/>
      <c r="T164" s="7"/>
      <c r="U164" s="7"/>
      <c r="V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57"/>
      <c r="T165" s="7"/>
      <c r="U165" s="7"/>
      <c r="V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57"/>
      <c r="T166" s="7"/>
      <c r="U166" s="7"/>
      <c r="V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57"/>
      <c r="T167" s="7"/>
      <c r="U167" s="7"/>
      <c r="V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57"/>
      <c r="T168" s="7"/>
      <c r="U168" s="7"/>
      <c r="V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57"/>
      <c r="T169" s="7"/>
      <c r="U169" s="7"/>
      <c r="V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57"/>
      <c r="T170" s="7"/>
      <c r="U170" s="7"/>
      <c r="V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57"/>
      <c r="T171" s="7"/>
      <c r="U171" s="7"/>
      <c r="V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57"/>
      <c r="T172" s="7"/>
      <c r="U172" s="7"/>
      <c r="V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57"/>
      <c r="T173" s="7"/>
      <c r="U173" s="7"/>
      <c r="V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57"/>
      <c r="T174" s="7"/>
      <c r="U174" s="7"/>
      <c r="V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57"/>
      <c r="T175" s="7"/>
      <c r="U175" s="7"/>
      <c r="V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57"/>
      <c r="T176" s="7"/>
      <c r="U176" s="7"/>
      <c r="V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57"/>
      <c r="T177" s="7"/>
      <c r="U177" s="7"/>
      <c r="V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57"/>
      <c r="T178" s="7"/>
      <c r="U178" s="7"/>
      <c r="V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57"/>
      <c r="T179" s="7"/>
      <c r="U179" s="7"/>
      <c r="V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57"/>
      <c r="T180" s="7"/>
      <c r="U180" s="7"/>
      <c r="V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57"/>
      <c r="T181" s="7"/>
      <c r="U181" s="7"/>
      <c r="V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57"/>
      <c r="T182" s="7"/>
      <c r="U182" s="7"/>
      <c r="V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57"/>
      <c r="T183" s="7"/>
      <c r="U183" s="7"/>
      <c r="V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57"/>
      <c r="T184" s="7"/>
      <c r="U184" s="7"/>
      <c r="V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57"/>
      <c r="T185" s="7"/>
      <c r="U185" s="7"/>
      <c r="V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57"/>
      <c r="T186" s="7"/>
      <c r="U186" s="7"/>
      <c r="V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57"/>
      <c r="T187" s="7"/>
      <c r="U187" s="7"/>
      <c r="V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57"/>
      <c r="T188" s="7"/>
      <c r="U188" s="7"/>
      <c r="V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57"/>
      <c r="T189" s="7"/>
      <c r="U189" s="7"/>
      <c r="V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57"/>
      <c r="T190" s="7"/>
      <c r="U190" s="7"/>
      <c r="V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57"/>
      <c r="T191" s="7"/>
      <c r="U191" s="7"/>
      <c r="V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57"/>
      <c r="T192" s="7"/>
      <c r="U192" s="7"/>
      <c r="V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57"/>
      <c r="T193" s="7"/>
      <c r="U193" s="7"/>
      <c r="V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57"/>
      <c r="T194" s="7"/>
      <c r="U194" s="7"/>
      <c r="V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57"/>
      <c r="T195" s="7"/>
      <c r="U195" s="7"/>
      <c r="V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57"/>
      <c r="T196" s="7"/>
      <c r="U196" s="7"/>
      <c r="V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57"/>
      <c r="T197" s="7"/>
      <c r="U197" s="7"/>
      <c r="V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57"/>
      <c r="T198" s="7"/>
      <c r="U198" s="7"/>
      <c r="V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57"/>
      <c r="T199" s="7"/>
      <c r="U199" s="7"/>
      <c r="V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57"/>
      <c r="T200" s="7"/>
      <c r="U200" s="7"/>
      <c r="V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57"/>
      <c r="T201" s="7"/>
      <c r="U201" s="7"/>
      <c r="V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57"/>
      <c r="T202" s="7"/>
      <c r="U202" s="7"/>
      <c r="V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57"/>
      <c r="T203" s="7"/>
      <c r="U203" s="7"/>
      <c r="V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57"/>
      <c r="T204" s="7"/>
      <c r="U204" s="7"/>
      <c r="V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57"/>
      <c r="T205" s="7"/>
      <c r="U205" s="7"/>
      <c r="V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57"/>
      <c r="T206" s="7"/>
      <c r="U206" s="7"/>
      <c r="V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57"/>
      <c r="T207" s="7"/>
      <c r="U207" s="7"/>
      <c r="V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57"/>
      <c r="T208" s="7"/>
      <c r="U208" s="7"/>
      <c r="V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57"/>
      <c r="T209" s="7"/>
      <c r="U209" s="7"/>
      <c r="V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57"/>
      <c r="T210" s="7"/>
      <c r="U210" s="7"/>
      <c r="V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57"/>
      <c r="T211" s="7"/>
      <c r="U211" s="7"/>
      <c r="V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57"/>
      <c r="T212" s="7"/>
      <c r="U212" s="7"/>
      <c r="V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57"/>
      <c r="T213" s="7"/>
      <c r="U213" s="7"/>
      <c r="V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57"/>
      <c r="T214" s="7"/>
      <c r="U214" s="7"/>
      <c r="V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57"/>
      <c r="T215" s="7"/>
      <c r="U215" s="7"/>
      <c r="V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57"/>
      <c r="T216" s="7"/>
      <c r="U216" s="7"/>
      <c r="V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57"/>
      <c r="T217" s="7"/>
      <c r="U217" s="7"/>
      <c r="V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57"/>
      <c r="T218" s="7"/>
      <c r="U218" s="7"/>
      <c r="V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57"/>
      <c r="T219" s="7"/>
      <c r="U219" s="7"/>
      <c r="V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57"/>
      <c r="T220" s="7"/>
      <c r="U220" s="7"/>
      <c r="V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57"/>
      <c r="T221" s="7"/>
      <c r="U221" s="7"/>
      <c r="V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57"/>
      <c r="T222" s="7"/>
      <c r="U222" s="7"/>
      <c r="V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57"/>
      <c r="T223" s="7"/>
      <c r="U223" s="7"/>
      <c r="V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57"/>
      <c r="T224" s="7"/>
      <c r="U224" s="7"/>
      <c r="V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57"/>
      <c r="T225" s="7"/>
      <c r="U225" s="7"/>
      <c r="V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57"/>
      <c r="T226" s="7"/>
      <c r="U226" s="7"/>
      <c r="V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57"/>
      <c r="T227" s="7"/>
      <c r="U227" s="7"/>
      <c r="V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57"/>
      <c r="T228" s="7"/>
      <c r="U228" s="7"/>
      <c r="V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57"/>
      <c r="T229" s="7"/>
      <c r="U229" s="7"/>
      <c r="V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57"/>
      <c r="T230" s="7"/>
      <c r="U230" s="7"/>
      <c r="V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57"/>
      <c r="T231" s="7"/>
      <c r="U231" s="7"/>
      <c r="V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57"/>
      <c r="T232" s="7"/>
      <c r="U232" s="7"/>
      <c r="V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57"/>
      <c r="T233" s="7"/>
      <c r="U233" s="7"/>
      <c r="V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57"/>
      <c r="T234" s="7"/>
      <c r="U234" s="7"/>
      <c r="V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57"/>
      <c r="T235" s="7"/>
      <c r="U235" s="7"/>
      <c r="V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57"/>
      <c r="T236" s="7"/>
      <c r="U236" s="7"/>
      <c r="V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57"/>
      <c r="T237" s="7"/>
      <c r="U237" s="7"/>
      <c r="V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57"/>
      <c r="T238" s="7"/>
      <c r="U238" s="7"/>
      <c r="V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57"/>
      <c r="T239" s="7"/>
      <c r="U239" s="7"/>
      <c r="V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57"/>
      <c r="T240" s="7"/>
      <c r="U240" s="7"/>
      <c r="V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57"/>
      <c r="T241" s="7"/>
      <c r="U241" s="7"/>
      <c r="V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57"/>
      <c r="T242" s="7"/>
      <c r="U242" s="7"/>
      <c r="V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57"/>
      <c r="T243" s="7"/>
      <c r="U243" s="7"/>
      <c r="V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57"/>
      <c r="T244" s="7"/>
      <c r="U244" s="7"/>
      <c r="V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57"/>
      <c r="T245" s="7"/>
      <c r="U245" s="7"/>
      <c r="V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57"/>
      <c r="T246" s="7"/>
      <c r="U246" s="7"/>
      <c r="V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57"/>
      <c r="T247" s="7"/>
      <c r="U247" s="7"/>
      <c r="V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57"/>
      <c r="T248" s="7"/>
      <c r="U248" s="7"/>
      <c r="V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57"/>
      <c r="T249" s="7"/>
      <c r="U249" s="7"/>
      <c r="V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57"/>
      <c r="T250" s="7"/>
      <c r="U250" s="7"/>
      <c r="V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57"/>
      <c r="T251" s="7"/>
      <c r="U251" s="7"/>
      <c r="V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57"/>
      <c r="T252" s="7"/>
      <c r="U252" s="7"/>
      <c r="V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57"/>
      <c r="T253" s="7"/>
      <c r="U253" s="7"/>
      <c r="V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57"/>
      <c r="T254" s="7"/>
      <c r="U254" s="7"/>
      <c r="V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57"/>
      <c r="T255" s="7"/>
      <c r="U255" s="7"/>
      <c r="V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57"/>
      <c r="T256" s="7"/>
      <c r="U256" s="7"/>
      <c r="V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57"/>
      <c r="T257" s="7"/>
      <c r="U257" s="7"/>
      <c r="V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57"/>
      <c r="T258" s="7"/>
      <c r="U258" s="7"/>
      <c r="V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57"/>
      <c r="T259" s="7"/>
      <c r="U259" s="7"/>
      <c r="V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57"/>
      <c r="T260" s="7"/>
      <c r="U260" s="7"/>
      <c r="V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57"/>
      <c r="T261" s="7"/>
      <c r="U261" s="7"/>
      <c r="V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57"/>
      <c r="T262" s="7"/>
      <c r="U262" s="7"/>
      <c r="V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57"/>
      <c r="T263" s="7"/>
      <c r="U263" s="7"/>
      <c r="V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57"/>
      <c r="T264" s="7"/>
      <c r="U264" s="7"/>
      <c r="V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57"/>
      <c r="T265" s="7"/>
      <c r="U265" s="7"/>
      <c r="V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57"/>
      <c r="T266" s="7"/>
      <c r="U266" s="7"/>
      <c r="V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57"/>
      <c r="T267" s="7"/>
      <c r="U267" s="7"/>
      <c r="V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57"/>
      <c r="T268" s="7"/>
      <c r="U268" s="7"/>
      <c r="V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57"/>
      <c r="T269" s="7"/>
      <c r="U269" s="7"/>
      <c r="V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57"/>
      <c r="T270" s="7"/>
      <c r="U270" s="7"/>
      <c r="V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57"/>
      <c r="T271" s="7"/>
      <c r="U271" s="7"/>
      <c r="V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57"/>
      <c r="T272" s="7"/>
      <c r="U272" s="7"/>
      <c r="V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57"/>
      <c r="T273" s="7"/>
      <c r="U273" s="7"/>
      <c r="V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57"/>
      <c r="T274" s="7"/>
      <c r="U274" s="7"/>
      <c r="V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57"/>
      <c r="T275" s="7"/>
      <c r="U275" s="7"/>
      <c r="V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57"/>
      <c r="T276" s="7"/>
      <c r="U276" s="7"/>
      <c r="V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57"/>
      <c r="T277" s="7"/>
      <c r="U277" s="7"/>
      <c r="V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57"/>
      <c r="T278" s="7"/>
      <c r="U278" s="7"/>
      <c r="V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57"/>
      <c r="T279" s="7"/>
      <c r="U279" s="7"/>
      <c r="V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57"/>
      <c r="T280" s="7"/>
      <c r="U280" s="7"/>
      <c r="V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57"/>
      <c r="T281" s="7"/>
      <c r="U281" s="7"/>
      <c r="V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57"/>
      <c r="T282" s="7"/>
      <c r="U282" s="7"/>
      <c r="V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57"/>
      <c r="T283" s="7"/>
      <c r="U283" s="7"/>
      <c r="V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57"/>
      <c r="T284" s="7"/>
      <c r="U284" s="7"/>
      <c r="V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57"/>
      <c r="T285" s="7"/>
      <c r="U285" s="7"/>
      <c r="V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57"/>
      <c r="T286" s="7"/>
      <c r="U286" s="7"/>
      <c r="V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57"/>
      <c r="T287" s="7"/>
      <c r="U287" s="7"/>
      <c r="V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57"/>
      <c r="T288" s="7"/>
      <c r="U288" s="7"/>
      <c r="V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57"/>
      <c r="T289" s="7"/>
      <c r="U289" s="7"/>
      <c r="V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57"/>
      <c r="T290" s="7"/>
      <c r="U290" s="7"/>
      <c r="V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57"/>
      <c r="T291" s="7"/>
      <c r="U291" s="7"/>
      <c r="V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57"/>
      <c r="T292" s="7"/>
      <c r="U292" s="7"/>
      <c r="V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57"/>
      <c r="T293" s="7"/>
      <c r="U293" s="7"/>
      <c r="V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57"/>
      <c r="T294" s="7"/>
      <c r="U294" s="7"/>
      <c r="V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57"/>
      <c r="T295" s="7"/>
      <c r="U295" s="7"/>
      <c r="V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57"/>
      <c r="T296" s="7"/>
      <c r="U296" s="7"/>
      <c r="V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57"/>
      <c r="T297" s="7"/>
      <c r="U297" s="7"/>
      <c r="V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57"/>
      <c r="T298" s="7"/>
      <c r="U298" s="7"/>
      <c r="V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57"/>
      <c r="T299" s="7"/>
      <c r="U299" s="7"/>
      <c r="V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57"/>
      <c r="T300" s="7"/>
      <c r="U300" s="7"/>
      <c r="V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57"/>
      <c r="T301" s="7"/>
      <c r="U301" s="7"/>
      <c r="V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57"/>
      <c r="T302" s="7"/>
      <c r="U302" s="7"/>
      <c r="V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57"/>
      <c r="T303" s="7"/>
      <c r="U303" s="7"/>
      <c r="V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57"/>
      <c r="T304" s="7"/>
      <c r="U304" s="7"/>
      <c r="V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57"/>
      <c r="T305" s="7"/>
      <c r="U305" s="7"/>
      <c r="V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57"/>
      <c r="T306" s="7"/>
      <c r="U306" s="7"/>
      <c r="V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57"/>
      <c r="T307" s="7"/>
      <c r="U307" s="7"/>
      <c r="V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57"/>
      <c r="T308" s="7"/>
      <c r="U308" s="7"/>
      <c r="V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57"/>
      <c r="T309" s="7"/>
      <c r="U309" s="7"/>
      <c r="V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57"/>
      <c r="T310" s="7"/>
      <c r="U310" s="7"/>
      <c r="V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57"/>
      <c r="T311" s="7"/>
      <c r="U311" s="7"/>
      <c r="V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57"/>
      <c r="T312" s="7"/>
      <c r="U312" s="7"/>
      <c r="V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57"/>
      <c r="T313" s="7"/>
      <c r="U313" s="7"/>
      <c r="V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57"/>
      <c r="T314" s="7"/>
      <c r="U314" s="7"/>
      <c r="V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57"/>
      <c r="T315" s="7"/>
      <c r="U315" s="7"/>
      <c r="V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57"/>
      <c r="T316" s="7"/>
      <c r="U316" s="7"/>
      <c r="V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57"/>
      <c r="T317" s="7"/>
      <c r="U317" s="7"/>
      <c r="V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57"/>
      <c r="T318" s="7"/>
      <c r="U318" s="7"/>
      <c r="V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57"/>
      <c r="T319" s="7"/>
      <c r="U319" s="7"/>
      <c r="V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57"/>
      <c r="T320" s="7"/>
      <c r="U320" s="7"/>
      <c r="V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57"/>
      <c r="T321" s="7"/>
      <c r="U321" s="7"/>
      <c r="V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57"/>
      <c r="T322" s="7"/>
      <c r="U322" s="7"/>
      <c r="V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57"/>
      <c r="T323" s="7"/>
      <c r="U323" s="7"/>
      <c r="V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57"/>
      <c r="T324" s="7"/>
      <c r="U324" s="7"/>
      <c r="V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57"/>
      <c r="T325" s="7"/>
      <c r="U325" s="7"/>
      <c r="V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57"/>
      <c r="T326" s="7"/>
      <c r="U326" s="7"/>
      <c r="V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57"/>
      <c r="T327" s="7"/>
      <c r="U327" s="7"/>
      <c r="V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57"/>
      <c r="T328" s="7"/>
      <c r="U328" s="7"/>
      <c r="V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57"/>
      <c r="T329" s="7"/>
      <c r="U329" s="7"/>
      <c r="V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57"/>
      <c r="T330" s="7"/>
      <c r="U330" s="7"/>
      <c r="V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57"/>
      <c r="T331" s="7"/>
      <c r="U331" s="7"/>
      <c r="V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57"/>
      <c r="T332" s="7"/>
      <c r="U332" s="7"/>
      <c r="V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57"/>
      <c r="T333" s="7"/>
      <c r="U333" s="7"/>
      <c r="V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57"/>
      <c r="T334" s="7"/>
      <c r="U334" s="7"/>
      <c r="V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57"/>
      <c r="T335" s="7"/>
      <c r="U335" s="7"/>
      <c r="V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57"/>
      <c r="T336" s="7"/>
      <c r="U336" s="7"/>
      <c r="V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57"/>
      <c r="T337" s="7"/>
      <c r="U337" s="7"/>
      <c r="V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57"/>
      <c r="T338" s="7"/>
      <c r="U338" s="7"/>
      <c r="V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57"/>
      <c r="T339" s="7"/>
      <c r="U339" s="7"/>
      <c r="V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57"/>
      <c r="T340" s="7"/>
      <c r="U340" s="7"/>
      <c r="V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57"/>
      <c r="T341" s="7"/>
      <c r="U341" s="7"/>
      <c r="V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57"/>
      <c r="T342" s="7"/>
      <c r="U342" s="7"/>
      <c r="V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57"/>
      <c r="T343" s="7"/>
      <c r="U343" s="7"/>
      <c r="V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57"/>
      <c r="T344" s="7"/>
      <c r="U344" s="7"/>
      <c r="V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57"/>
      <c r="T345" s="7"/>
      <c r="U345" s="7"/>
      <c r="V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57"/>
      <c r="T346" s="7"/>
      <c r="U346" s="7"/>
      <c r="V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57"/>
      <c r="T347" s="7"/>
      <c r="U347" s="7"/>
      <c r="V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57"/>
      <c r="T348" s="7"/>
      <c r="U348" s="7"/>
      <c r="V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57"/>
      <c r="T349" s="7"/>
      <c r="U349" s="7"/>
      <c r="V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57"/>
      <c r="T350" s="7"/>
      <c r="U350" s="7"/>
      <c r="V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57"/>
      <c r="T351" s="7"/>
      <c r="U351" s="7"/>
      <c r="V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57"/>
      <c r="T352" s="7"/>
      <c r="U352" s="7"/>
      <c r="V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57"/>
      <c r="T353" s="7"/>
      <c r="U353" s="7"/>
      <c r="V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57"/>
      <c r="T354" s="7"/>
      <c r="U354" s="7"/>
      <c r="V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57"/>
      <c r="T355" s="7"/>
      <c r="U355" s="7"/>
      <c r="V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57"/>
      <c r="T356" s="7"/>
      <c r="U356" s="7"/>
      <c r="V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57"/>
      <c r="T357" s="7"/>
      <c r="U357" s="7"/>
      <c r="V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57"/>
      <c r="T358" s="7"/>
      <c r="U358" s="7"/>
      <c r="V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57"/>
      <c r="T359" s="7"/>
      <c r="U359" s="7"/>
      <c r="V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57"/>
      <c r="T360" s="7"/>
      <c r="U360" s="7"/>
      <c r="V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57"/>
      <c r="T361" s="7"/>
      <c r="U361" s="7"/>
      <c r="V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57"/>
      <c r="T362" s="7"/>
      <c r="U362" s="7"/>
      <c r="V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57"/>
      <c r="T363" s="7"/>
      <c r="U363" s="7"/>
      <c r="V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57"/>
      <c r="T364" s="7"/>
      <c r="U364" s="7"/>
      <c r="V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57"/>
      <c r="T365" s="7"/>
      <c r="U365" s="7"/>
      <c r="V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57"/>
      <c r="T366" s="7"/>
      <c r="U366" s="7"/>
      <c r="V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57"/>
      <c r="T367" s="7"/>
      <c r="U367" s="7"/>
      <c r="V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57"/>
      <c r="T368" s="7"/>
      <c r="U368" s="7"/>
      <c r="V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57"/>
      <c r="T369" s="7"/>
      <c r="U369" s="7"/>
      <c r="V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57"/>
      <c r="T370" s="7"/>
      <c r="U370" s="7"/>
      <c r="V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57"/>
      <c r="T371" s="7"/>
      <c r="U371" s="7"/>
      <c r="V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57"/>
      <c r="T372" s="7"/>
      <c r="U372" s="7"/>
      <c r="V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57"/>
      <c r="T373" s="7"/>
      <c r="U373" s="7"/>
      <c r="V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57"/>
      <c r="T374" s="7"/>
      <c r="U374" s="7"/>
      <c r="V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57"/>
      <c r="T375" s="7"/>
      <c r="U375" s="7"/>
      <c r="V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57"/>
      <c r="T376" s="7"/>
      <c r="U376" s="7"/>
      <c r="V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57"/>
      <c r="T377" s="7"/>
      <c r="U377" s="7"/>
      <c r="V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57"/>
      <c r="T378" s="7"/>
      <c r="U378" s="7"/>
      <c r="V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57"/>
      <c r="T379" s="7"/>
      <c r="U379" s="7"/>
      <c r="V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57"/>
      <c r="T380" s="7"/>
      <c r="U380" s="7"/>
      <c r="V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57"/>
      <c r="T381" s="7"/>
      <c r="U381" s="7"/>
      <c r="V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57"/>
      <c r="T382" s="7"/>
      <c r="U382" s="7"/>
      <c r="V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57"/>
      <c r="T383" s="7"/>
      <c r="U383" s="7"/>
      <c r="V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57"/>
      <c r="T384" s="7"/>
      <c r="U384" s="7"/>
      <c r="V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57"/>
      <c r="T385" s="7"/>
      <c r="U385" s="7"/>
      <c r="V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57"/>
      <c r="T386" s="7"/>
      <c r="U386" s="7"/>
      <c r="V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57"/>
      <c r="T387" s="7"/>
      <c r="U387" s="7"/>
      <c r="V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57"/>
      <c r="T388" s="7"/>
      <c r="U388" s="7"/>
      <c r="V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57"/>
      <c r="T389" s="7"/>
      <c r="U389" s="7"/>
      <c r="V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57"/>
      <c r="T390" s="7"/>
      <c r="U390" s="7"/>
      <c r="V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57"/>
      <c r="T391" s="7"/>
      <c r="U391" s="7"/>
      <c r="V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57"/>
      <c r="T392" s="7"/>
      <c r="U392" s="7"/>
      <c r="V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57"/>
      <c r="T393" s="7"/>
      <c r="U393" s="7"/>
      <c r="V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57"/>
      <c r="T394" s="7"/>
      <c r="U394" s="7"/>
      <c r="V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57"/>
      <c r="T395" s="7"/>
      <c r="U395" s="7"/>
      <c r="V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57"/>
      <c r="T396" s="7"/>
      <c r="U396" s="7"/>
      <c r="V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57"/>
      <c r="T397" s="7"/>
      <c r="U397" s="7"/>
      <c r="V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57"/>
      <c r="T398" s="7"/>
      <c r="U398" s="7"/>
      <c r="V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57"/>
      <c r="T399" s="7"/>
      <c r="U399" s="7"/>
      <c r="V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57"/>
      <c r="T400" s="7"/>
      <c r="U400" s="7"/>
      <c r="V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57"/>
      <c r="T401" s="7"/>
      <c r="U401" s="7"/>
      <c r="V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57"/>
      <c r="T402" s="7"/>
      <c r="U402" s="7"/>
      <c r="V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57"/>
      <c r="T403" s="7"/>
      <c r="U403" s="7"/>
      <c r="V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57"/>
      <c r="T404" s="7"/>
      <c r="U404" s="7"/>
      <c r="V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57"/>
      <c r="T405" s="7"/>
      <c r="U405" s="7"/>
      <c r="V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57"/>
      <c r="T406" s="7"/>
      <c r="U406" s="7"/>
      <c r="V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57"/>
      <c r="T407" s="7"/>
      <c r="U407" s="7"/>
      <c r="V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57"/>
      <c r="T408" s="7"/>
      <c r="U408" s="7"/>
      <c r="V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57"/>
      <c r="T409" s="7"/>
      <c r="U409" s="7"/>
      <c r="V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57"/>
      <c r="T410" s="7"/>
      <c r="U410" s="7"/>
      <c r="V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57"/>
      <c r="T411" s="7"/>
      <c r="U411" s="7"/>
      <c r="V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57"/>
      <c r="T412" s="7"/>
      <c r="U412" s="7"/>
      <c r="V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57"/>
      <c r="T413" s="7"/>
      <c r="U413" s="7"/>
      <c r="V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57"/>
      <c r="T414" s="7"/>
      <c r="U414" s="7"/>
      <c r="V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57"/>
      <c r="T415" s="7"/>
      <c r="U415" s="7"/>
      <c r="V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57"/>
      <c r="T416" s="7"/>
      <c r="U416" s="7"/>
      <c r="V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57"/>
      <c r="T417" s="7"/>
      <c r="U417" s="7"/>
      <c r="V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57"/>
      <c r="T418" s="7"/>
      <c r="U418" s="7"/>
      <c r="V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57"/>
      <c r="T419" s="7"/>
      <c r="U419" s="7"/>
      <c r="V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57"/>
      <c r="T420" s="7"/>
      <c r="U420" s="7"/>
      <c r="V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57"/>
      <c r="T421" s="7"/>
      <c r="U421" s="7"/>
      <c r="V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57"/>
      <c r="T422" s="7"/>
      <c r="U422" s="7"/>
      <c r="V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57"/>
      <c r="T423" s="7"/>
      <c r="U423" s="7"/>
      <c r="V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57"/>
      <c r="T424" s="7"/>
      <c r="U424" s="7"/>
      <c r="V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57"/>
      <c r="T425" s="7"/>
      <c r="U425" s="7"/>
      <c r="V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57"/>
      <c r="T426" s="7"/>
      <c r="U426" s="7"/>
      <c r="V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57"/>
      <c r="T427" s="7"/>
      <c r="U427" s="7"/>
      <c r="V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57"/>
      <c r="T428" s="7"/>
      <c r="U428" s="7"/>
      <c r="V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57"/>
      <c r="T429" s="7"/>
      <c r="U429" s="7"/>
      <c r="V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57"/>
      <c r="T430" s="7"/>
      <c r="U430" s="7"/>
      <c r="V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57"/>
      <c r="T431" s="7"/>
      <c r="U431" s="7"/>
      <c r="V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57"/>
      <c r="T432" s="7"/>
      <c r="U432" s="7"/>
      <c r="V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57"/>
      <c r="T433" s="7"/>
      <c r="U433" s="7"/>
      <c r="V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57"/>
      <c r="T434" s="7"/>
      <c r="U434" s="7"/>
      <c r="V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57"/>
      <c r="T435" s="7"/>
      <c r="U435" s="7"/>
      <c r="V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57"/>
      <c r="T436" s="7"/>
      <c r="U436" s="7"/>
      <c r="V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57"/>
      <c r="T437" s="7"/>
      <c r="U437" s="7"/>
      <c r="V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57"/>
      <c r="T438" s="7"/>
      <c r="U438" s="7"/>
      <c r="V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57"/>
      <c r="T439" s="7"/>
      <c r="U439" s="7"/>
      <c r="V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57"/>
      <c r="T440" s="7"/>
      <c r="U440" s="7"/>
      <c r="V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57"/>
      <c r="T441" s="7"/>
      <c r="U441" s="7"/>
      <c r="V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57"/>
      <c r="T442" s="7"/>
      <c r="U442" s="7"/>
      <c r="V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57"/>
      <c r="T443" s="7"/>
      <c r="U443" s="7"/>
      <c r="V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57"/>
      <c r="T444" s="7"/>
      <c r="U444" s="7"/>
      <c r="V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57"/>
      <c r="T445" s="7"/>
      <c r="U445" s="7"/>
      <c r="V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57"/>
      <c r="T446" s="7"/>
      <c r="U446" s="7"/>
      <c r="V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57"/>
      <c r="T447" s="7"/>
      <c r="U447" s="7"/>
      <c r="V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57"/>
      <c r="T448" s="7"/>
      <c r="U448" s="7"/>
      <c r="V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57"/>
      <c r="T449" s="7"/>
      <c r="U449" s="7"/>
      <c r="V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57"/>
      <c r="T450" s="7"/>
      <c r="U450" s="7"/>
      <c r="V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57"/>
      <c r="T451" s="7"/>
      <c r="U451" s="7"/>
      <c r="V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57"/>
      <c r="T452" s="7"/>
      <c r="U452" s="7"/>
      <c r="V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57"/>
      <c r="T453" s="7"/>
      <c r="U453" s="7"/>
      <c r="V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57"/>
      <c r="T454" s="7"/>
      <c r="U454" s="7"/>
      <c r="V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57"/>
      <c r="T455" s="7"/>
      <c r="U455" s="7"/>
      <c r="V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57"/>
      <c r="T456" s="7"/>
      <c r="U456" s="7"/>
      <c r="V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57"/>
      <c r="T457" s="7"/>
      <c r="U457" s="7"/>
      <c r="V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57"/>
      <c r="T458" s="7"/>
      <c r="U458" s="7"/>
      <c r="V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57"/>
      <c r="T459" s="7"/>
      <c r="U459" s="7"/>
      <c r="V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57"/>
      <c r="T460" s="7"/>
      <c r="U460" s="7"/>
      <c r="V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57"/>
      <c r="T461" s="7"/>
      <c r="U461" s="7"/>
      <c r="V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57"/>
      <c r="T462" s="7"/>
      <c r="U462" s="7"/>
      <c r="V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57"/>
      <c r="T463" s="7"/>
      <c r="U463" s="7"/>
      <c r="V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57"/>
      <c r="T464" s="7"/>
      <c r="U464" s="7"/>
      <c r="V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57"/>
      <c r="T465" s="7"/>
      <c r="U465" s="7"/>
      <c r="V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57"/>
      <c r="T466" s="7"/>
      <c r="U466" s="7"/>
      <c r="V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57"/>
      <c r="T467" s="7"/>
      <c r="U467" s="7"/>
      <c r="V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57"/>
      <c r="T468" s="7"/>
      <c r="U468" s="7"/>
      <c r="V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57"/>
      <c r="T469" s="7"/>
      <c r="U469" s="7"/>
      <c r="V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57"/>
      <c r="T470" s="7"/>
      <c r="U470" s="7"/>
      <c r="V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57"/>
      <c r="T471" s="7"/>
      <c r="U471" s="7"/>
      <c r="V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57"/>
      <c r="T472" s="7"/>
      <c r="U472" s="7"/>
      <c r="V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57"/>
      <c r="T473" s="7"/>
      <c r="U473" s="7"/>
      <c r="V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57"/>
      <c r="T474" s="7"/>
      <c r="U474" s="7"/>
      <c r="V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57"/>
      <c r="T475" s="7"/>
      <c r="U475" s="7"/>
      <c r="V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57"/>
      <c r="T476" s="7"/>
      <c r="U476" s="7"/>
      <c r="V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57"/>
      <c r="T477" s="7"/>
      <c r="U477" s="7"/>
      <c r="V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57"/>
      <c r="T478" s="7"/>
      <c r="U478" s="7"/>
      <c r="V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57"/>
      <c r="T479" s="7"/>
      <c r="U479" s="7"/>
      <c r="V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57"/>
      <c r="T480" s="7"/>
      <c r="U480" s="7"/>
      <c r="V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57"/>
      <c r="T481" s="7"/>
      <c r="U481" s="7"/>
      <c r="V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57"/>
      <c r="T482" s="7"/>
      <c r="U482" s="7"/>
      <c r="V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57"/>
      <c r="T483" s="7"/>
      <c r="U483" s="7"/>
      <c r="V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57"/>
      <c r="T484" s="7"/>
      <c r="U484" s="7"/>
      <c r="V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57"/>
      <c r="T485" s="7"/>
      <c r="U485" s="7"/>
      <c r="V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57"/>
      <c r="T486" s="7"/>
      <c r="U486" s="7"/>
      <c r="V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57"/>
      <c r="T487" s="7"/>
      <c r="U487" s="7"/>
      <c r="V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57"/>
      <c r="T488" s="7"/>
      <c r="U488" s="7"/>
      <c r="V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57"/>
      <c r="T489" s="7"/>
      <c r="U489" s="7"/>
      <c r="V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57"/>
      <c r="T490" s="7"/>
      <c r="U490" s="7"/>
      <c r="V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57"/>
      <c r="T491" s="7"/>
      <c r="U491" s="7"/>
      <c r="V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57"/>
      <c r="T492" s="7"/>
      <c r="U492" s="7"/>
      <c r="V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57"/>
      <c r="T493" s="7"/>
      <c r="U493" s="7"/>
      <c r="V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57"/>
      <c r="T494" s="7"/>
      <c r="U494" s="7"/>
      <c r="V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57"/>
      <c r="T495" s="7"/>
      <c r="U495" s="7"/>
      <c r="V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57"/>
      <c r="T496" s="7"/>
      <c r="U496" s="7"/>
      <c r="V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57"/>
      <c r="T497" s="7"/>
      <c r="U497" s="7"/>
      <c r="V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57"/>
      <c r="T498" s="7"/>
      <c r="U498" s="7"/>
      <c r="V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57"/>
      <c r="T499" s="7"/>
      <c r="U499" s="7"/>
      <c r="V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57"/>
      <c r="T500" s="7"/>
      <c r="U500" s="7"/>
      <c r="V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57"/>
      <c r="T501" s="7"/>
      <c r="U501" s="7"/>
      <c r="V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57"/>
      <c r="T502" s="7"/>
      <c r="U502" s="7"/>
      <c r="V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57"/>
      <c r="T503" s="7"/>
      <c r="U503" s="7"/>
      <c r="V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57"/>
      <c r="T504" s="7"/>
      <c r="U504" s="7"/>
      <c r="V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57"/>
      <c r="T505" s="7"/>
      <c r="U505" s="7"/>
      <c r="V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57"/>
      <c r="T506" s="7"/>
      <c r="U506" s="7"/>
      <c r="V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57"/>
      <c r="T507" s="7"/>
      <c r="U507" s="7"/>
      <c r="V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57"/>
      <c r="T508" s="7"/>
      <c r="U508" s="7"/>
      <c r="V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57"/>
      <c r="T509" s="7"/>
      <c r="U509" s="7"/>
      <c r="V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57"/>
      <c r="T510" s="7"/>
      <c r="U510" s="7"/>
      <c r="V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57"/>
      <c r="T511" s="7"/>
      <c r="U511" s="7"/>
      <c r="V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57"/>
      <c r="T512" s="7"/>
      <c r="U512" s="7"/>
      <c r="V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57"/>
      <c r="T513" s="7"/>
      <c r="U513" s="7"/>
      <c r="V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57"/>
      <c r="T514" s="7"/>
      <c r="U514" s="7"/>
      <c r="V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57"/>
      <c r="T515" s="7"/>
      <c r="U515" s="7"/>
      <c r="V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57"/>
      <c r="T516" s="7"/>
      <c r="U516" s="7"/>
      <c r="V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57"/>
      <c r="T517" s="7"/>
      <c r="U517" s="7"/>
      <c r="V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57"/>
      <c r="T518" s="7"/>
      <c r="U518" s="7"/>
      <c r="V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57"/>
      <c r="T519" s="7"/>
      <c r="U519" s="7"/>
      <c r="V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57"/>
      <c r="T520" s="7"/>
      <c r="U520" s="7"/>
      <c r="V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57"/>
      <c r="T521" s="7"/>
      <c r="U521" s="7"/>
      <c r="V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57"/>
      <c r="T522" s="7"/>
      <c r="U522" s="7"/>
      <c r="V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57"/>
      <c r="T523" s="7"/>
      <c r="U523" s="7"/>
      <c r="V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57"/>
      <c r="T524" s="7"/>
      <c r="U524" s="7"/>
      <c r="V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57"/>
      <c r="T525" s="7"/>
      <c r="U525" s="7"/>
      <c r="V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57"/>
      <c r="T526" s="7"/>
      <c r="U526" s="7"/>
      <c r="V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57"/>
      <c r="T527" s="7"/>
      <c r="U527" s="7"/>
      <c r="V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57"/>
      <c r="T528" s="7"/>
      <c r="U528" s="7"/>
      <c r="V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57"/>
      <c r="T529" s="7"/>
      <c r="U529" s="7"/>
      <c r="V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57"/>
      <c r="T530" s="7"/>
      <c r="U530" s="7"/>
      <c r="V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57"/>
      <c r="T531" s="7"/>
      <c r="U531" s="7"/>
      <c r="V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57"/>
      <c r="T532" s="7"/>
      <c r="U532" s="7"/>
      <c r="V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57"/>
      <c r="T533" s="7"/>
      <c r="U533" s="7"/>
      <c r="V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57"/>
      <c r="T534" s="7"/>
      <c r="U534" s="7"/>
      <c r="V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57"/>
      <c r="T535" s="7"/>
      <c r="U535" s="7"/>
      <c r="V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57"/>
      <c r="T536" s="7"/>
      <c r="U536" s="7"/>
      <c r="V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57"/>
      <c r="T537" s="7"/>
      <c r="U537" s="7"/>
      <c r="V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57"/>
      <c r="T538" s="7"/>
      <c r="U538" s="7"/>
      <c r="V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57"/>
      <c r="T539" s="7"/>
      <c r="U539" s="7"/>
      <c r="V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57"/>
      <c r="T540" s="7"/>
      <c r="U540" s="7"/>
      <c r="V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57"/>
      <c r="T541" s="7"/>
      <c r="U541" s="7"/>
      <c r="V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57"/>
      <c r="T542" s="7"/>
      <c r="U542" s="7"/>
      <c r="V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57"/>
      <c r="T543" s="7"/>
      <c r="U543" s="7"/>
      <c r="V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57"/>
      <c r="T544" s="7"/>
      <c r="U544" s="7"/>
      <c r="V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57"/>
      <c r="T545" s="7"/>
      <c r="U545" s="7"/>
      <c r="V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57"/>
      <c r="T546" s="7"/>
      <c r="U546" s="7"/>
      <c r="V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57"/>
      <c r="T547" s="7"/>
      <c r="U547" s="7"/>
      <c r="V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57"/>
      <c r="T548" s="7"/>
      <c r="U548" s="7"/>
      <c r="V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57"/>
      <c r="T549" s="7"/>
      <c r="U549" s="7"/>
      <c r="V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57"/>
      <c r="T550" s="7"/>
      <c r="U550" s="7"/>
      <c r="V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57"/>
      <c r="T551" s="7"/>
      <c r="U551" s="7"/>
      <c r="V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57"/>
      <c r="T552" s="7"/>
      <c r="U552" s="7"/>
      <c r="V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57"/>
      <c r="T553" s="7"/>
      <c r="U553" s="7"/>
      <c r="V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57"/>
      <c r="T554" s="7"/>
      <c r="U554" s="7"/>
      <c r="V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57"/>
      <c r="T555" s="7"/>
      <c r="U555" s="7"/>
      <c r="V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57"/>
      <c r="T556" s="7"/>
      <c r="U556" s="7"/>
      <c r="V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57"/>
      <c r="T557" s="7"/>
      <c r="U557" s="7"/>
      <c r="V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57"/>
      <c r="T558" s="7"/>
      <c r="U558" s="7"/>
      <c r="V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57"/>
      <c r="T559" s="7"/>
      <c r="U559" s="7"/>
      <c r="V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57"/>
      <c r="T560" s="7"/>
      <c r="U560" s="7"/>
      <c r="V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57"/>
      <c r="T561" s="7"/>
      <c r="U561" s="7"/>
      <c r="V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57"/>
      <c r="T562" s="7"/>
      <c r="U562" s="7"/>
      <c r="V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57"/>
      <c r="T563" s="7"/>
      <c r="U563" s="7"/>
      <c r="V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57"/>
      <c r="T564" s="7"/>
      <c r="U564" s="7"/>
      <c r="V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57"/>
      <c r="T565" s="7"/>
      <c r="U565" s="7"/>
      <c r="V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57"/>
      <c r="T566" s="7"/>
      <c r="U566" s="7"/>
      <c r="V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57"/>
      <c r="T567" s="7"/>
      <c r="U567" s="7"/>
      <c r="V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57"/>
      <c r="T568" s="7"/>
      <c r="U568" s="7"/>
      <c r="V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57"/>
      <c r="T569" s="7"/>
      <c r="U569" s="7"/>
      <c r="V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57"/>
      <c r="T570" s="7"/>
      <c r="U570" s="7"/>
      <c r="V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57"/>
      <c r="T571" s="7"/>
      <c r="U571" s="7"/>
      <c r="V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57"/>
      <c r="T572" s="7"/>
      <c r="U572" s="7"/>
      <c r="V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57"/>
      <c r="T573" s="7"/>
      <c r="U573" s="7"/>
      <c r="V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57"/>
      <c r="T574" s="7"/>
      <c r="U574" s="7"/>
      <c r="V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57"/>
      <c r="T575" s="7"/>
      <c r="U575" s="7"/>
      <c r="V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57"/>
      <c r="T576" s="7"/>
      <c r="U576" s="7"/>
      <c r="V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57"/>
      <c r="T577" s="7"/>
      <c r="U577" s="7"/>
      <c r="V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57"/>
      <c r="T578" s="7"/>
      <c r="U578" s="7"/>
      <c r="V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57"/>
      <c r="T579" s="7"/>
      <c r="U579" s="7"/>
      <c r="V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57"/>
      <c r="T580" s="7"/>
      <c r="U580" s="7"/>
      <c r="V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57"/>
      <c r="T581" s="7"/>
      <c r="U581" s="7"/>
      <c r="V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57"/>
      <c r="T582" s="7"/>
      <c r="U582" s="7"/>
      <c r="V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57"/>
      <c r="T583" s="7"/>
      <c r="U583" s="7"/>
      <c r="V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57"/>
      <c r="T584" s="7"/>
      <c r="U584" s="7"/>
      <c r="V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57"/>
      <c r="T585" s="7"/>
      <c r="U585" s="7"/>
      <c r="V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57"/>
      <c r="T586" s="7"/>
      <c r="U586" s="7"/>
      <c r="V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57"/>
      <c r="T587" s="7"/>
      <c r="U587" s="7"/>
      <c r="V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57"/>
      <c r="T588" s="7"/>
      <c r="U588" s="7"/>
      <c r="V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57"/>
      <c r="T589" s="7"/>
      <c r="U589" s="7"/>
      <c r="V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57"/>
      <c r="T590" s="7"/>
      <c r="U590" s="7"/>
      <c r="V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57"/>
      <c r="T591" s="7"/>
      <c r="U591" s="7"/>
      <c r="V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57"/>
      <c r="T592" s="7"/>
      <c r="U592" s="7"/>
      <c r="V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57"/>
      <c r="T593" s="7"/>
      <c r="U593" s="7"/>
      <c r="V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57"/>
      <c r="T594" s="7"/>
      <c r="U594" s="7"/>
      <c r="V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57"/>
      <c r="T595" s="7"/>
      <c r="U595" s="7"/>
      <c r="V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57"/>
      <c r="T596" s="7"/>
      <c r="U596" s="7"/>
      <c r="V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57"/>
      <c r="T597" s="7"/>
      <c r="U597" s="7"/>
      <c r="V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57"/>
      <c r="T598" s="7"/>
      <c r="U598" s="7"/>
      <c r="V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57"/>
      <c r="T599" s="7"/>
      <c r="U599" s="7"/>
      <c r="V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57"/>
      <c r="T600" s="7"/>
      <c r="U600" s="7"/>
      <c r="V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57"/>
      <c r="T601" s="7"/>
      <c r="U601" s="7"/>
      <c r="V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57"/>
      <c r="T602" s="7"/>
      <c r="U602" s="7"/>
      <c r="V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57"/>
      <c r="T603" s="7"/>
      <c r="U603" s="7"/>
      <c r="V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57"/>
      <c r="T604" s="7"/>
      <c r="U604" s="7"/>
      <c r="V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57"/>
      <c r="T605" s="7"/>
      <c r="U605" s="7"/>
      <c r="V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57"/>
      <c r="T606" s="7"/>
      <c r="U606" s="7"/>
      <c r="V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57"/>
      <c r="T607" s="7"/>
      <c r="U607" s="7"/>
      <c r="V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57"/>
      <c r="T608" s="7"/>
      <c r="U608" s="7"/>
      <c r="V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57"/>
      <c r="T609" s="7"/>
      <c r="U609" s="7"/>
      <c r="V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57"/>
      <c r="T610" s="7"/>
      <c r="U610" s="7"/>
      <c r="V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57"/>
      <c r="T611" s="7"/>
      <c r="U611" s="7"/>
      <c r="V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57"/>
      <c r="T612" s="7"/>
      <c r="U612" s="7"/>
      <c r="V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57"/>
      <c r="T613" s="7"/>
      <c r="U613" s="7"/>
      <c r="V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57"/>
      <c r="T614" s="7"/>
      <c r="U614" s="7"/>
      <c r="V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57"/>
      <c r="T615" s="7"/>
      <c r="U615" s="7"/>
      <c r="V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57"/>
      <c r="T616" s="7"/>
      <c r="U616" s="7"/>
      <c r="V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57"/>
      <c r="T617" s="7"/>
      <c r="U617" s="7"/>
      <c r="V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57"/>
      <c r="T618" s="7"/>
      <c r="U618" s="7"/>
      <c r="V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57"/>
      <c r="T619" s="7"/>
      <c r="U619" s="7"/>
      <c r="V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57"/>
      <c r="T620" s="7"/>
      <c r="U620" s="7"/>
      <c r="V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57"/>
      <c r="T621" s="7"/>
      <c r="U621" s="7"/>
      <c r="V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57"/>
      <c r="T622" s="7"/>
      <c r="U622" s="7"/>
      <c r="V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57"/>
      <c r="T623" s="7"/>
      <c r="U623" s="7"/>
      <c r="V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57"/>
      <c r="T624" s="7"/>
      <c r="U624" s="7"/>
      <c r="V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57"/>
      <c r="T625" s="7"/>
      <c r="U625" s="7"/>
      <c r="V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57"/>
      <c r="T626" s="7"/>
      <c r="U626" s="7"/>
      <c r="V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57"/>
      <c r="T627" s="7"/>
      <c r="U627" s="7"/>
      <c r="V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57"/>
      <c r="T628" s="7"/>
      <c r="U628" s="7"/>
      <c r="V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57"/>
      <c r="T629" s="7"/>
      <c r="U629" s="7"/>
      <c r="V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57"/>
      <c r="T630" s="7"/>
      <c r="U630" s="7"/>
      <c r="V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57"/>
      <c r="T631" s="7"/>
      <c r="U631" s="7"/>
      <c r="V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57"/>
      <c r="T632" s="7"/>
      <c r="U632" s="7"/>
      <c r="V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57"/>
      <c r="T633" s="7"/>
      <c r="U633" s="7"/>
      <c r="V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57"/>
      <c r="T634" s="7"/>
      <c r="U634" s="7"/>
      <c r="V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57"/>
      <c r="T635" s="7"/>
      <c r="U635" s="7"/>
      <c r="V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57"/>
      <c r="T636" s="7"/>
      <c r="U636" s="7"/>
      <c r="V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57"/>
      <c r="T637" s="7"/>
      <c r="U637" s="7"/>
      <c r="V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57"/>
      <c r="T638" s="7"/>
      <c r="U638" s="7"/>
      <c r="V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57"/>
      <c r="T639" s="7"/>
      <c r="U639" s="7"/>
      <c r="V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57"/>
      <c r="T640" s="7"/>
      <c r="U640" s="7"/>
      <c r="V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57"/>
      <c r="T641" s="7"/>
      <c r="U641" s="7"/>
      <c r="V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57"/>
      <c r="T642" s="7"/>
      <c r="U642" s="7"/>
      <c r="V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57"/>
      <c r="T643" s="7"/>
      <c r="U643" s="7"/>
      <c r="V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57"/>
      <c r="T644" s="7"/>
      <c r="U644" s="7"/>
      <c r="V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57"/>
      <c r="T645" s="7"/>
      <c r="U645" s="7"/>
      <c r="V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57"/>
      <c r="T646" s="7"/>
      <c r="U646" s="7"/>
      <c r="V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57"/>
      <c r="T647" s="7"/>
      <c r="U647" s="7"/>
      <c r="V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57"/>
      <c r="T648" s="7"/>
      <c r="U648" s="7"/>
      <c r="V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57"/>
      <c r="T649" s="7"/>
      <c r="U649" s="7"/>
      <c r="V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57"/>
      <c r="T650" s="7"/>
      <c r="U650" s="7"/>
      <c r="V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57"/>
      <c r="T651" s="7"/>
      <c r="U651" s="7"/>
      <c r="V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57"/>
      <c r="T652" s="7"/>
      <c r="U652" s="7"/>
      <c r="V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57"/>
      <c r="T653" s="7"/>
      <c r="U653" s="7"/>
      <c r="V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57"/>
      <c r="T654" s="7"/>
      <c r="U654" s="7"/>
      <c r="V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57"/>
      <c r="T655" s="7"/>
      <c r="U655" s="7"/>
      <c r="V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57"/>
      <c r="T656" s="7"/>
      <c r="U656" s="7"/>
      <c r="V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57"/>
      <c r="T657" s="7"/>
      <c r="U657" s="7"/>
      <c r="V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57"/>
      <c r="T658" s="7"/>
      <c r="U658" s="7"/>
      <c r="V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57"/>
      <c r="T659" s="7"/>
      <c r="U659" s="7"/>
      <c r="V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57"/>
      <c r="T660" s="7"/>
      <c r="U660" s="7"/>
      <c r="V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57"/>
      <c r="T661" s="7"/>
      <c r="U661" s="7"/>
      <c r="V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57"/>
      <c r="T662" s="7"/>
      <c r="U662" s="7"/>
      <c r="V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57"/>
      <c r="T663" s="7"/>
      <c r="U663" s="7"/>
      <c r="V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57"/>
      <c r="T664" s="7"/>
      <c r="U664" s="7"/>
      <c r="V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57"/>
      <c r="T665" s="7"/>
      <c r="U665" s="7"/>
      <c r="V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57"/>
      <c r="T666" s="7"/>
      <c r="U666" s="7"/>
      <c r="V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57"/>
      <c r="T667" s="7"/>
      <c r="U667" s="7"/>
      <c r="V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57"/>
      <c r="T668" s="7"/>
      <c r="U668" s="7"/>
      <c r="V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57"/>
      <c r="T669" s="7"/>
      <c r="U669" s="7"/>
      <c r="V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57"/>
      <c r="T670" s="7"/>
      <c r="U670" s="7"/>
      <c r="V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57"/>
      <c r="T671" s="7"/>
      <c r="U671" s="7"/>
      <c r="V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57"/>
      <c r="T672" s="7"/>
      <c r="U672" s="7"/>
      <c r="V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57"/>
      <c r="T673" s="7"/>
      <c r="U673" s="7"/>
      <c r="V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57"/>
      <c r="T674" s="7"/>
      <c r="U674" s="7"/>
      <c r="V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57"/>
      <c r="T675" s="7"/>
      <c r="U675" s="7"/>
      <c r="V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57"/>
      <c r="T676" s="7"/>
      <c r="U676" s="7"/>
      <c r="V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57"/>
      <c r="T677" s="7"/>
      <c r="U677" s="7"/>
      <c r="V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57"/>
      <c r="T678" s="7"/>
      <c r="U678" s="7"/>
      <c r="V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57"/>
      <c r="T679" s="7"/>
      <c r="U679" s="7"/>
      <c r="V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57"/>
      <c r="T680" s="7"/>
      <c r="U680" s="7"/>
      <c r="V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57"/>
      <c r="T681" s="7"/>
      <c r="U681" s="7"/>
      <c r="V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57"/>
      <c r="T682" s="7"/>
      <c r="U682" s="7"/>
      <c r="V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57"/>
      <c r="T683" s="7"/>
      <c r="U683" s="7"/>
      <c r="V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57"/>
      <c r="T684" s="7"/>
      <c r="U684" s="7"/>
      <c r="V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57"/>
      <c r="T685" s="7"/>
      <c r="U685" s="7"/>
      <c r="V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57"/>
      <c r="T686" s="7"/>
      <c r="U686" s="7"/>
      <c r="V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57"/>
      <c r="T687" s="7"/>
      <c r="U687" s="7"/>
      <c r="V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57"/>
      <c r="T688" s="7"/>
      <c r="U688" s="7"/>
      <c r="V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57"/>
      <c r="T689" s="7"/>
      <c r="U689" s="7"/>
      <c r="V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57"/>
      <c r="T690" s="7"/>
      <c r="U690" s="7"/>
      <c r="V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57"/>
      <c r="T691" s="7"/>
      <c r="U691" s="7"/>
      <c r="V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57"/>
      <c r="T692" s="7"/>
      <c r="U692" s="7"/>
      <c r="V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57"/>
      <c r="T693" s="7"/>
      <c r="U693" s="7"/>
      <c r="V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57"/>
      <c r="T694" s="7"/>
      <c r="U694" s="7"/>
      <c r="V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57"/>
      <c r="T695" s="7"/>
      <c r="U695" s="7"/>
      <c r="V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57"/>
      <c r="T696" s="7"/>
      <c r="U696" s="7"/>
      <c r="V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57"/>
      <c r="T697" s="7"/>
      <c r="U697" s="7"/>
      <c r="V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57"/>
      <c r="T698" s="7"/>
      <c r="U698" s="7"/>
      <c r="V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57"/>
      <c r="T699" s="7"/>
      <c r="U699" s="7"/>
      <c r="V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57"/>
      <c r="T700" s="7"/>
      <c r="U700" s="7"/>
      <c r="V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57"/>
      <c r="T701" s="7"/>
      <c r="U701" s="7"/>
      <c r="V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57"/>
      <c r="T702" s="7"/>
      <c r="U702" s="7"/>
      <c r="V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57"/>
      <c r="T703" s="7"/>
      <c r="U703" s="7"/>
      <c r="V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57"/>
      <c r="T704" s="7"/>
      <c r="U704" s="7"/>
      <c r="V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57"/>
      <c r="T705" s="7"/>
      <c r="U705" s="7"/>
      <c r="V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57"/>
      <c r="T706" s="7"/>
      <c r="U706" s="7"/>
      <c r="V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57"/>
      <c r="T707" s="7"/>
      <c r="U707" s="7"/>
      <c r="V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57"/>
      <c r="T708" s="7"/>
      <c r="U708" s="7"/>
      <c r="V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57"/>
      <c r="T709" s="7"/>
      <c r="U709" s="7"/>
      <c r="V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57"/>
      <c r="T710" s="7"/>
      <c r="U710" s="7"/>
      <c r="V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57"/>
      <c r="T711" s="7"/>
      <c r="U711" s="7"/>
      <c r="V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57"/>
      <c r="T712" s="7"/>
      <c r="U712" s="7"/>
      <c r="V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57"/>
      <c r="T713" s="7"/>
      <c r="U713" s="7"/>
      <c r="V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57"/>
      <c r="T714" s="7"/>
      <c r="U714" s="7"/>
      <c r="V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57"/>
      <c r="T715" s="7"/>
      <c r="U715" s="7"/>
      <c r="V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57"/>
      <c r="T716" s="7"/>
      <c r="U716" s="7"/>
      <c r="V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57"/>
      <c r="T717" s="7"/>
      <c r="U717" s="7"/>
      <c r="V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57"/>
      <c r="T718" s="7"/>
      <c r="U718" s="7"/>
      <c r="V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57"/>
      <c r="T719" s="7"/>
      <c r="U719" s="7"/>
      <c r="V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57"/>
      <c r="T720" s="7"/>
      <c r="U720" s="7"/>
      <c r="V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57"/>
      <c r="T721" s="7"/>
      <c r="U721" s="7"/>
      <c r="V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57"/>
      <c r="T722" s="7"/>
      <c r="U722" s="7"/>
      <c r="V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57"/>
      <c r="T723" s="7"/>
      <c r="U723" s="7"/>
      <c r="V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57"/>
      <c r="T724" s="7"/>
      <c r="U724" s="7"/>
      <c r="V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57"/>
      <c r="T725" s="7"/>
      <c r="U725" s="7"/>
      <c r="V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57"/>
      <c r="T726" s="7"/>
      <c r="U726" s="7"/>
      <c r="V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57"/>
      <c r="T727" s="7"/>
      <c r="U727" s="7"/>
      <c r="V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57"/>
      <c r="T728" s="7"/>
      <c r="U728" s="7"/>
      <c r="V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57"/>
      <c r="T729" s="7"/>
      <c r="U729" s="7"/>
      <c r="V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57"/>
      <c r="T730" s="7"/>
      <c r="U730" s="7"/>
      <c r="V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57"/>
      <c r="T731" s="7"/>
      <c r="U731" s="7"/>
      <c r="V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57"/>
      <c r="T732" s="7"/>
      <c r="U732" s="7"/>
      <c r="V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57"/>
      <c r="T733" s="7"/>
      <c r="U733" s="7"/>
      <c r="V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57"/>
      <c r="T734" s="7"/>
      <c r="U734" s="7"/>
      <c r="V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57"/>
      <c r="T735" s="7"/>
      <c r="U735" s="7"/>
      <c r="V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57"/>
      <c r="T736" s="7"/>
      <c r="U736" s="7"/>
      <c r="V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57"/>
      <c r="T737" s="7"/>
      <c r="U737" s="7"/>
      <c r="V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57"/>
      <c r="T738" s="7"/>
      <c r="U738" s="7"/>
      <c r="V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57"/>
      <c r="T739" s="7"/>
      <c r="U739" s="7"/>
      <c r="V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57"/>
      <c r="T740" s="7"/>
      <c r="U740" s="7"/>
      <c r="V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57"/>
      <c r="T741" s="7"/>
      <c r="U741" s="7"/>
      <c r="V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57"/>
      <c r="T742" s="7"/>
      <c r="U742" s="7"/>
      <c r="V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57"/>
      <c r="T743" s="7"/>
      <c r="U743" s="7"/>
      <c r="V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57"/>
      <c r="T744" s="7"/>
      <c r="U744" s="7"/>
      <c r="V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57"/>
      <c r="T745" s="7"/>
      <c r="U745" s="7"/>
      <c r="V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57"/>
      <c r="T746" s="7"/>
      <c r="U746" s="7"/>
      <c r="V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57"/>
      <c r="T747" s="7"/>
      <c r="U747" s="7"/>
      <c r="V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57"/>
      <c r="T748" s="7"/>
      <c r="U748" s="7"/>
      <c r="V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57"/>
      <c r="T749" s="7"/>
      <c r="U749" s="7"/>
      <c r="V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57"/>
      <c r="T750" s="7"/>
      <c r="U750" s="7"/>
      <c r="V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57"/>
      <c r="T751" s="7"/>
      <c r="U751" s="7"/>
      <c r="V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57"/>
      <c r="T752" s="7"/>
      <c r="U752" s="7"/>
      <c r="V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57"/>
      <c r="T753" s="7"/>
      <c r="U753" s="7"/>
      <c r="V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57"/>
      <c r="T754" s="7"/>
      <c r="U754" s="7"/>
      <c r="V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57"/>
      <c r="T755" s="7"/>
      <c r="U755" s="7"/>
      <c r="V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57"/>
      <c r="T756" s="7"/>
      <c r="U756" s="7"/>
      <c r="V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57"/>
      <c r="T757" s="7"/>
      <c r="U757" s="7"/>
      <c r="V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57"/>
      <c r="T758" s="7"/>
      <c r="U758" s="7"/>
      <c r="V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57"/>
      <c r="T759" s="7"/>
      <c r="U759" s="7"/>
      <c r="V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57"/>
      <c r="T760" s="7"/>
      <c r="U760" s="7"/>
      <c r="V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57"/>
      <c r="T761" s="7"/>
      <c r="U761" s="7"/>
      <c r="V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57"/>
      <c r="T762" s="7"/>
      <c r="U762" s="7"/>
      <c r="V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57"/>
      <c r="T763" s="7"/>
      <c r="U763" s="7"/>
      <c r="V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57"/>
      <c r="T764" s="7"/>
      <c r="U764" s="7"/>
      <c r="V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57"/>
      <c r="T765" s="7"/>
      <c r="U765" s="7"/>
      <c r="V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57"/>
      <c r="T766" s="7"/>
      <c r="U766" s="7"/>
      <c r="V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57"/>
      <c r="T767" s="7"/>
      <c r="U767" s="7"/>
      <c r="V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57"/>
      <c r="T768" s="7"/>
      <c r="U768" s="7"/>
      <c r="V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57"/>
      <c r="T769" s="7"/>
      <c r="U769" s="7"/>
      <c r="V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57"/>
      <c r="T770" s="7"/>
      <c r="U770" s="7"/>
      <c r="V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57"/>
      <c r="T771" s="7"/>
      <c r="U771" s="7"/>
      <c r="V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57"/>
      <c r="T772" s="7"/>
      <c r="U772" s="7"/>
      <c r="V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57"/>
      <c r="T773" s="7"/>
      <c r="U773" s="7"/>
      <c r="V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57"/>
      <c r="T774" s="7"/>
      <c r="U774" s="7"/>
      <c r="V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57"/>
      <c r="T775" s="7"/>
      <c r="U775" s="7"/>
      <c r="V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57"/>
      <c r="T776" s="7"/>
      <c r="U776" s="7"/>
      <c r="V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57"/>
      <c r="T777" s="7"/>
      <c r="U777" s="7"/>
      <c r="V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57"/>
      <c r="T778" s="7"/>
      <c r="U778" s="7"/>
      <c r="V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57"/>
      <c r="T779" s="7"/>
      <c r="U779" s="7"/>
      <c r="V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57"/>
      <c r="T780" s="7"/>
      <c r="U780" s="7"/>
      <c r="V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57"/>
      <c r="T781" s="7"/>
      <c r="U781" s="7"/>
      <c r="V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57"/>
      <c r="T782" s="7"/>
      <c r="U782" s="7"/>
      <c r="V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57"/>
      <c r="T783" s="7"/>
      <c r="U783" s="7"/>
      <c r="V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57"/>
      <c r="T784" s="7"/>
      <c r="U784" s="7"/>
      <c r="V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57"/>
      <c r="T785" s="7"/>
      <c r="U785" s="7"/>
      <c r="V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57"/>
      <c r="T786" s="7"/>
      <c r="U786" s="7"/>
      <c r="V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57"/>
      <c r="T787" s="7"/>
      <c r="U787" s="7"/>
      <c r="V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57"/>
      <c r="T788" s="7"/>
      <c r="U788" s="7"/>
      <c r="V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57"/>
      <c r="T789" s="7"/>
      <c r="U789" s="7"/>
      <c r="V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57"/>
      <c r="T790" s="7"/>
      <c r="U790" s="7"/>
      <c r="V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57"/>
      <c r="T791" s="7"/>
      <c r="U791" s="7"/>
      <c r="V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57"/>
      <c r="T792" s="7"/>
      <c r="U792" s="7"/>
      <c r="V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57"/>
      <c r="T793" s="7"/>
      <c r="U793" s="7"/>
      <c r="V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57"/>
      <c r="T794" s="7"/>
      <c r="U794" s="7"/>
      <c r="V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57"/>
      <c r="T795" s="7"/>
      <c r="U795" s="7"/>
      <c r="V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57"/>
      <c r="T796" s="7"/>
      <c r="U796" s="7"/>
      <c r="V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57"/>
      <c r="T797" s="7"/>
      <c r="U797" s="7"/>
      <c r="V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57"/>
      <c r="T798" s="7"/>
      <c r="U798" s="7"/>
      <c r="V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57"/>
      <c r="T799" s="7"/>
      <c r="U799" s="7"/>
      <c r="V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57"/>
      <c r="T800" s="7"/>
      <c r="U800" s="7"/>
      <c r="V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57"/>
      <c r="T801" s="7"/>
      <c r="U801" s="7"/>
      <c r="V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57"/>
      <c r="T802" s="7"/>
      <c r="U802" s="7"/>
      <c r="V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57"/>
      <c r="T803" s="7"/>
      <c r="U803" s="7"/>
      <c r="V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57"/>
      <c r="T804" s="7"/>
      <c r="U804" s="7"/>
      <c r="V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57"/>
      <c r="T805" s="7"/>
      <c r="U805" s="7"/>
      <c r="V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57"/>
      <c r="T806" s="7"/>
      <c r="U806" s="7"/>
      <c r="V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57"/>
      <c r="T807" s="7"/>
      <c r="U807" s="7"/>
      <c r="V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57"/>
      <c r="T808" s="7"/>
      <c r="U808" s="7"/>
      <c r="V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57"/>
      <c r="T809" s="7"/>
      <c r="U809" s="7"/>
      <c r="V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57"/>
      <c r="T810" s="7"/>
      <c r="U810" s="7"/>
      <c r="V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57"/>
      <c r="T811" s="7"/>
      <c r="U811" s="7"/>
      <c r="V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57"/>
      <c r="T812" s="7"/>
      <c r="U812" s="7"/>
      <c r="V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57"/>
      <c r="T813" s="7"/>
      <c r="U813" s="7"/>
      <c r="V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57"/>
      <c r="T814" s="7"/>
      <c r="U814" s="7"/>
      <c r="V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57"/>
      <c r="T815" s="7"/>
      <c r="U815" s="7"/>
      <c r="V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57"/>
      <c r="T816" s="7"/>
      <c r="U816" s="7"/>
      <c r="V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57"/>
      <c r="T817" s="7"/>
      <c r="U817" s="7"/>
      <c r="V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57"/>
      <c r="T818" s="7"/>
      <c r="U818" s="7"/>
      <c r="V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57"/>
      <c r="T819" s="7"/>
      <c r="U819" s="7"/>
      <c r="V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57"/>
      <c r="T820" s="7"/>
      <c r="U820" s="7"/>
      <c r="V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57"/>
      <c r="T821" s="7"/>
      <c r="U821" s="7"/>
      <c r="V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57"/>
      <c r="T822" s="7"/>
      <c r="U822" s="7"/>
      <c r="V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57"/>
      <c r="T823" s="7"/>
      <c r="U823" s="7"/>
      <c r="V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57"/>
      <c r="T824" s="7"/>
      <c r="U824" s="7"/>
      <c r="V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57"/>
      <c r="T825" s="7"/>
      <c r="U825" s="7"/>
      <c r="V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57"/>
      <c r="T826" s="7"/>
      <c r="U826" s="7"/>
      <c r="V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57"/>
      <c r="T827" s="7"/>
      <c r="U827" s="7"/>
      <c r="V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57"/>
      <c r="T828" s="7"/>
      <c r="U828" s="7"/>
      <c r="V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57"/>
      <c r="T829" s="7"/>
      <c r="U829" s="7"/>
      <c r="V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57"/>
      <c r="T830" s="7"/>
      <c r="U830" s="7"/>
      <c r="V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57"/>
      <c r="T831" s="7"/>
      <c r="U831" s="7"/>
      <c r="V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57"/>
      <c r="T832" s="7"/>
      <c r="U832" s="7"/>
      <c r="V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57"/>
      <c r="T833" s="7"/>
      <c r="U833" s="7"/>
      <c r="V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57"/>
      <c r="T834" s="7"/>
      <c r="U834" s="7"/>
      <c r="V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57"/>
      <c r="T835" s="7"/>
      <c r="U835" s="7"/>
      <c r="V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57"/>
      <c r="T836" s="7"/>
      <c r="U836" s="7"/>
      <c r="V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57"/>
      <c r="T837" s="7"/>
      <c r="U837" s="7"/>
      <c r="V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57"/>
      <c r="T838" s="7"/>
      <c r="U838" s="7"/>
      <c r="V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57"/>
      <c r="T839" s="7"/>
      <c r="U839" s="7"/>
      <c r="V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57"/>
      <c r="T840" s="7"/>
      <c r="U840" s="7"/>
      <c r="V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57"/>
      <c r="T841" s="7"/>
      <c r="U841" s="7"/>
      <c r="V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57"/>
      <c r="T842" s="7"/>
      <c r="U842" s="7"/>
      <c r="V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57"/>
      <c r="T843" s="7"/>
      <c r="U843" s="7"/>
      <c r="V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57"/>
      <c r="T844" s="7"/>
      <c r="U844" s="7"/>
      <c r="V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57"/>
      <c r="T845" s="7"/>
      <c r="U845" s="7"/>
      <c r="V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57"/>
      <c r="T846" s="7"/>
      <c r="U846" s="7"/>
      <c r="V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57"/>
      <c r="T847" s="7"/>
      <c r="U847" s="7"/>
      <c r="V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57"/>
      <c r="T848" s="7"/>
      <c r="U848" s="7"/>
      <c r="V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57"/>
      <c r="T849" s="7"/>
      <c r="U849" s="7"/>
      <c r="V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57"/>
      <c r="T850" s="7"/>
      <c r="U850" s="7"/>
      <c r="V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57"/>
      <c r="T851" s="7"/>
      <c r="U851" s="7"/>
      <c r="V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57"/>
      <c r="T852" s="7"/>
      <c r="U852" s="7"/>
      <c r="V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57"/>
      <c r="T853" s="7"/>
      <c r="U853" s="7"/>
      <c r="V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57"/>
      <c r="T854" s="7"/>
      <c r="U854" s="7"/>
      <c r="V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57"/>
      <c r="T855" s="7"/>
      <c r="U855" s="7"/>
      <c r="V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57"/>
      <c r="T856" s="7"/>
      <c r="U856" s="7"/>
      <c r="V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57"/>
      <c r="T857" s="7"/>
      <c r="U857" s="7"/>
      <c r="V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57"/>
      <c r="T858" s="7"/>
      <c r="U858" s="7"/>
      <c r="V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57"/>
      <c r="T859" s="7"/>
      <c r="U859" s="7"/>
      <c r="V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57"/>
      <c r="T860" s="7"/>
      <c r="U860" s="7"/>
      <c r="V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57"/>
      <c r="T861" s="7"/>
      <c r="U861" s="7"/>
      <c r="V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57"/>
      <c r="T862" s="7"/>
      <c r="U862" s="7"/>
      <c r="V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57"/>
      <c r="T863" s="7"/>
      <c r="U863" s="7"/>
      <c r="V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57"/>
      <c r="T864" s="7"/>
      <c r="U864" s="7"/>
      <c r="V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57"/>
      <c r="T865" s="7"/>
      <c r="U865" s="7"/>
      <c r="V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57"/>
      <c r="T866" s="7"/>
      <c r="U866" s="7"/>
      <c r="V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57"/>
      <c r="T867" s="7"/>
      <c r="U867" s="7"/>
      <c r="V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57"/>
      <c r="T868" s="7"/>
      <c r="U868" s="7"/>
      <c r="V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57"/>
      <c r="T869" s="7"/>
      <c r="U869" s="7"/>
      <c r="V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57"/>
      <c r="T870" s="7"/>
      <c r="U870" s="7"/>
      <c r="V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57"/>
      <c r="T871" s="7"/>
      <c r="U871" s="7"/>
      <c r="V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57"/>
      <c r="T872" s="7"/>
      <c r="U872" s="7"/>
      <c r="V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57"/>
      <c r="T873" s="7"/>
      <c r="U873" s="7"/>
      <c r="V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57"/>
      <c r="T874" s="7"/>
      <c r="U874" s="7"/>
      <c r="V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57"/>
      <c r="T875" s="7"/>
      <c r="U875" s="7"/>
      <c r="V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57"/>
      <c r="T876" s="7"/>
      <c r="U876" s="7"/>
      <c r="V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57"/>
      <c r="T877" s="7"/>
      <c r="U877" s="7"/>
      <c r="V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57"/>
      <c r="T878" s="7"/>
      <c r="U878" s="7"/>
      <c r="V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57"/>
      <c r="T879" s="7"/>
      <c r="U879" s="7"/>
      <c r="V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57"/>
      <c r="T880" s="7"/>
      <c r="U880" s="7"/>
      <c r="V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57"/>
      <c r="T881" s="7"/>
      <c r="U881" s="7"/>
      <c r="V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57"/>
      <c r="T882" s="7"/>
      <c r="U882" s="7"/>
      <c r="V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57"/>
      <c r="T883" s="7"/>
      <c r="U883" s="7"/>
      <c r="V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57"/>
      <c r="T884" s="7"/>
      <c r="U884" s="7"/>
      <c r="V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57"/>
      <c r="T885" s="7"/>
      <c r="U885" s="7"/>
      <c r="V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57"/>
      <c r="T886" s="7"/>
      <c r="U886" s="7"/>
      <c r="V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57"/>
      <c r="T887" s="7"/>
      <c r="U887" s="7"/>
      <c r="V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57"/>
      <c r="T888" s="7"/>
      <c r="U888" s="7"/>
      <c r="V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57"/>
      <c r="T889" s="7"/>
      <c r="U889" s="7"/>
      <c r="V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57"/>
      <c r="T890" s="7"/>
      <c r="U890" s="7"/>
      <c r="V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57"/>
      <c r="T891" s="7"/>
      <c r="U891" s="7"/>
      <c r="V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57"/>
      <c r="T892" s="7"/>
      <c r="U892" s="7"/>
      <c r="V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57"/>
      <c r="T893" s="7"/>
      <c r="U893" s="7"/>
      <c r="V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57"/>
      <c r="T894" s="7"/>
      <c r="U894" s="7"/>
      <c r="V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57"/>
      <c r="T895" s="7"/>
      <c r="U895" s="7"/>
      <c r="V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57"/>
      <c r="T896" s="7"/>
      <c r="U896" s="7"/>
      <c r="V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57"/>
      <c r="T897" s="7"/>
      <c r="U897" s="7"/>
      <c r="V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57"/>
      <c r="T898" s="7"/>
      <c r="U898" s="7"/>
      <c r="V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57"/>
      <c r="T899" s="7"/>
      <c r="U899" s="7"/>
      <c r="V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57"/>
      <c r="T900" s="7"/>
      <c r="U900" s="7"/>
      <c r="V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57"/>
      <c r="T901" s="7"/>
      <c r="U901" s="7"/>
      <c r="V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57"/>
      <c r="T902" s="7"/>
      <c r="U902" s="7"/>
      <c r="V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57"/>
      <c r="T903" s="7"/>
      <c r="U903" s="7"/>
      <c r="V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57"/>
      <c r="T904" s="7"/>
      <c r="U904" s="7"/>
      <c r="V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57"/>
      <c r="T905" s="7"/>
      <c r="U905" s="7"/>
      <c r="V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57"/>
      <c r="T906" s="7"/>
      <c r="U906" s="7"/>
      <c r="V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57"/>
      <c r="T907" s="7"/>
      <c r="U907" s="7"/>
      <c r="V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57"/>
      <c r="T908" s="7"/>
      <c r="U908" s="7"/>
      <c r="V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57"/>
      <c r="T909" s="7"/>
      <c r="U909" s="7"/>
      <c r="V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57"/>
      <c r="T910" s="7"/>
      <c r="U910" s="7"/>
      <c r="V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57"/>
      <c r="T911" s="7"/>
      <c r="U911" s="7"/>
      <c r="V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57"/>
      <c r="T912" s="7"/>
      <c r="U912" s="7"/>
      <c r="V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57"/>
      <c r="T913" s="7"/>
      <c r="U913" s="7"/>
      <c r="V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57"/>
      <c r="T914" s="7"/>
      <c r="U914" s="7"/>
      <c r="V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57"/>
      <c r="T915" s="7"/>
      <c r="U915" s="7"/>
      <c r="V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57"/>
      <c r="T916" s="7"/>
      <c r="U916" s="7"/>
      <c r="V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57"/>
      <c r="T917" s="7"/>
      <c r="U917" s="7"/>
      <c r="V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57"/>
      <c r="T918" s="7"/>
      <c r="U918" s="7"/>
      <c r="V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57"/>
      <c r="T919" s="7"/>
      <c r="U919" s="7"/>
      <c r="V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57"/>
      <c r="T920" s="7"/>
      <c r="U920" s="7"/>
      <c r="V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57"/>
      <c r="T921" s="7"/>
      <c r="U921" s="7"/>
      <c r="V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57"/>
      <c r="T922" s="7"/>
      <c r="U922" s="7"/>
      <c r="V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57"/>
      <c r="T923" s="7"/>
      <c r="U923" s="7"/>
      <c r="V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57"/>
      <c r="T924" s="7"/>
      <c r="U924" s="7"/>
      <c r="V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57"/>
      <c r="T925" s="7"/>
      <c r="U925" s="7"/>
      <c r="V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57"/>
      <c r="T926" s="7"/>
      <c r="U926" s="7"/>
      <c r="V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57"/>
      <c r="T927" s="7"/>
      <c r="U927" s="7"/>
      <c r="V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57"/>
      <c r="T928" s="7"/>
      <c r="U928" s="7"/>
      <c r="V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57"/>
      <c r="T929" s="7"/>
      <c r="U929" s="7"/>
      <c r="V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57"/>
      <c r="T930" s="7"/>
      <c r="U930" s="7"/>
      <c r="V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57"/>
      <c r="T931" s="7"/>
      <c r="U931" s="7"/>
      <c r="V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57"/>
      <c r="T932" s="7"/>
      <c r="U932" s="7"/>
      <c r="V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57"/>
      <c r="T933" s="7"/>
      <c r="U933" s="7"/>
      <c r="V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57"/>
      <c r="T934" s="7"/>
      <c r="U934" s="7"/>
      <c r="V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57"/>
      <c r="T935" s="7"/>
      <c r="U935" s="7"/>
      <c r="V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57"/>
      <c r="T936" s="7"/>
      <c r="U936" s="7"/>
      <c r="V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57"/>
      <c r="T937" s="7"/>
      <c r="U937" s="7"/>
      <c r="V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57"/>
      <c r="T938" s="7"/>
      <c r="U938" s="7"/>
      <c r="V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57"/>
      <c r="T939" s="7"/>
      <c r="U939" s="7"/>
      <c r="V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57"/>
      <c r="T940" s="7"/>
      <c r="U940" s="7"/>
      <c r="V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57"/>
      <c r="T941" s="7"/>
      <c r="U941" s="7"/>
      <c r="V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57"/>
      <c r="T942" s="7"/>
      <c r="U942" s="7"/>
      <c r="V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57"/>
      <c r="T943" s="7"/>
      <c r="U943" s="7"/>
      <c r="V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57"/>
      <c r="T944" s="7"/>
      <c r="U944" s="7"/>
      <c r="V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57"/>
      <c r="T945" s="7"/>
      <c r="U945" s="7"/>
      <c r="V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57"/>
      <c r="T946" s="7"/>
      <c r="U946" s="7"/>
      <c r="V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57"/>
      <c r="T947" s="7"/>
      <c r="U947" s="7"/>
      <c r="V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57"/>
      <c r="T948" s="7"/>
      <c r="U948" s="7"/>
      <c r="V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57"/>
      <c r="T949" s="7"/>
      <c r="U949" s="7"/>
      <c r="V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57"/>
      <c r="T950" s="7"/>
      <c r="U950" s="7"/>
      <c r="V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57"/>
      <c r="T951" s="7"/>
      <c r="U951" s="7"/>
      <c r="V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57"/>
      <c r="T952" s="7"/>
      <c r="U952" s="7"/>
      <c r="V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57"/>
      <c r="T953" s="7"/>
      <c r="U953" s="7"/>
      <c r="V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57"/>
      <c r="T954" s="7"/>
      <c r="U954" s="7"/>
      <c r="V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57"/>
      <c r="T955" s="7"/>
      <c r="U955" s="7"/>
      <c r="V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57"/>
      <c r="T956" s="7"/>
      <c r="U956" s="7"/>
      <c r="V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57"/>
      <c r="T957" s="7"/>
      <c r="U957" s="7"/>
      <c r="V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57"/>
      <c r="T958" s="7"/>
      <c r="U958" s="7"/>
      <c r="V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57"/>
      <c r="T959" s="7"/>
      <c r="U959" s="7"/>
      <c r="V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57"/>
      <c r="T960" s="7"/>
      <c r="U960" s="7"/>
      <c r="V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57"/>
      <c r="T961" s="7"/>
      <c r="U961" s="7"/>
      <c r="V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57"/>
      <c r="T962" s="7"/>
      <c r="U962" s="7"/>
      <c r="V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57"/>
      <c r="T963" s="7"/>
      <c r="U963" s="7"/>
      <c r="V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57"/>
      <c r="T964" s="7"/>
      <c r="U964" s="7"/>
      <c r="V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57"/>
      <c r="T965" s="7"/>
      <c r="U965" s="7"/>
      <c r="V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57"/>
      <c r="T966" s="7"/>
      <c r="U966" s="7"/>
      <c r="V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57"/>
      <c r="T967" s="7"/>
      <c r="U967" s="7"/>
      <c r="V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57"/>
      <c r="T968" s="7"/>
      <c r="U968" s="7"/>
      <c r="V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57"/>
      <c r="T969" s="7"/>
      <c r="U969" s="7"/>
      <c r="V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57"/>
      <c r="T970" s="7"/>
      <c r="U970" s="7"/>
      <c r="V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57"/>
      <c r="T971" s="7"/>
      <c r="U971" s="7"/>
      <c r="V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57"/>
      <c r="T972" s="7"/>
      <c r="U972" s="7"/>
      <c r="V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57"/>
      <c r="T973" s="7"/>
      <c r="U973" s="7"/>
      <c r="V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57"/>
      <c r="T974" s="7"/>
      <c r="U974" s="7"/>
      <c r="V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57"/>
      <c r="T975" s="7"/>
      <c r="U975" s="7"/>
      <c r="V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57"/>
      <c r="T976" s="7"/>
      <c r="U976" s="7"/>
      <c r="V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57"/>
      <c r="T977" s="7"/>
      <c r="U977" s="7"/>
      <c r="V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57"/>
      <c r="T978" s="7"/>
      <c r="U978" s="7"/>
      <c r="V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57"/>
      <c r="T979" s="7"/>
      <c r="U979" s="7"/>
      <c r="V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57"/>
      <c r="T980" s="7"/>
      <c r="U980" s="7"/>
      <c r="V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57"/>
      <c r="T981" s="7"/>
      <c r="U981" s="7"/>
      <c r="V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57"/>
      <c r="T982" s="7"/>
      <c r="U982" s="7"/>
      <c r="V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57"/>
      <c r="T983" s="7"/>
      <c r="U983" s="7"/>
      <c r="V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57"/>
      <c r="T984" s="7"/>
      <c r="U984" s="7"/>
      <c r="V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57"/>
      <c r="T985" s="7"/>
      <c r="U985" s="7"/>
      <c r="V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57"/>
      <c r="T986" s="7"/>
      <c r="U986" s="7"/>
      <c r="V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57"/>
      <c r="T987" s="7"/>
      <c r="U987" s="7"/>
      <c r="V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57"/>
      <c r="T988" s="7"/>
      <c r="U988" s="7"/>
      <c r="V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57"/>
      <c r="T989" s="7"/>
      <c r="U989" s="7"/>
      <c r="V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57"/>
      <c r="T990" s="7"/>
      <c r="U990" s="7"/>
      <c r="V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57"/>
      <c r="T991" s="7"/>
      <c r="U991" s="7"/>
      <c r="V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57"/>
      <c r="T992" s="7"/>
      <c r="U992" s="7"/>
      <c r="V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57"/>
      <c r="T993" s="7"/>
      <c r="U993" s="7"/>
      <c r="V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57"/>
      <c r="T994" s="7"/>
      <c r="U994" s="7"/>
      <c r="V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57"/>
      <c r="T995" s="7"/>
      <c r="U995" s="7"/>
      <c r="V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57"/>
      <c r="T996" s="7"/>
      <c r="U996" s="7"/>
      <c r="V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57"/>
      <c r="T997" s="7"/>
      <c r="U997" s="7"/>
      <c r="V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57"/>
      <c r="T998" s="7"/>
      <c r="U998" s="7"/>
      <c r="V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57"/>
      <c r="T999" s="7"/>
      <c r="U999" s="7"/>
      <c r="V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57"/>
      <c r="T1000" s="7"/>
      <c r="U1000" s="7"/>
      <c r="V1000" s="7"/>
    </row>
  </sheetData>
  <dataValidations>
    <dataValidation type="list" allowBlank="1" showInputMessage="1" showErrorMessage="1" prompt="Vocabulario controlado - Valor fora do vocabulario controlado. Use a lista suspensa." sqref="C2:C73 R2:R73">
      <formula1>#REF!</formula1>
    </dataValidation>
    <dataValidation type="list" allowBlank="1" showInputMessage="1" showErrorMessage="1" prompt="Vocabulario controlado - Valor fora do vocabulario controlado. Use a lista suspensa." sqref="C74:C1000">
      <formula1>Listas!$M$2:$M$4</formula1>
    </dataValidation>
    <dataValidation type="list" allowBlank="1" showInputMessage="1" showErrorMessage="1" prompt="Vocabulario controlado - Valor fora do vocabulario controlado. Use a lista suspensa." sqref="K2:K1000">
      <formula1>Listas!$N$2:$N$6</formula1>
    </dataValidation>
    <dataValidation type="list" allowBlank="1" showInputMessage="1" showErrorMessage="1" prompt="Vocabulario controlado - Valor fora do vocabulario controlado. Use a lista suspensa." sqref="R74:R1000">
      <formula1>Listas!$P$2:$P$3</formula1>
    </dataValidation>
    <dataValidation type="list" allowBlank="1" showInputMessage="1" showErrorMessage="1" prompt="Vocabulario controlado - Valor fora do vocabulario controlado. Use a lista suspensa." sqref="Q2:Q1000">
      <formula1>Listas!$O$2:$O$4</formula1>
    </dataValidation>
    <dataValidation type="custom" allowBlank="1" showDropDown="1" sqref="B2:B73 I2:I73 P2:P73">
      <formula1>AND(ISNUMBER(B2),(NOT(OR(NOT(ISERROR(DATEVALUE(B2))), AND(ISNUMBER(B2), LEFT(CELL("format", B2))="D")))))</formula1>
    </dataValidation>
  </dataValidations>
  <hyperlinks>
    <hyperlink r:id="rId2" ref="B3"/>
    <hyperlink r:id="rId3" ref="B4"/>
    <hyperlink r:id="rId4" ref="B5"/>
    <hyperlink r:id="rId5" ref="B6"/>
    <hyperlink r:id="rId6" ref="B8"/>
    <hyperlink r:id="rId7" ref="B9"/>
    <hyperlink r:id="rId8" ref="H9"/>
    <hyperlink r:id="rId9" ref="B10"/>
    <hyperlink r:id="rId10" ref="B11"/>
    <hyperlink r:id="rId11" ref="B12"/>
    <hyperlink r:id="rId12" ref="H12"/>
    <hyperlink r:id="rId13" ref="B13"/>
    <hyperlink r:id="rId14" ref="H13"/>
    <hyperlink r:id="rId15" ref="B14"/>
    <hyperlink r:id="rId16" ref="H14"/>
    <hyperlink r:id="rId17" ref="B19"/>
    <hyperlink r:id="rId18" ref="H19"/>
    <hyperlink r:id="rId19" ref="B20"/>
    <hyperlink r:id="rId20" ref="H20"/>
    <hyperlink r:id="rId21" ref="B21"/>
    <hyperlink r:id="rId22" ref="H21"/>
    <hyperlink r:id="rId23" ref="B22"/>
    <hyperlink r:id="rId24" ref="B23"/>
    <hyperlink r:id="rId25" ref="B24"/>
    <hyperlink r:id="rId26" ref="H24"/>
    <hyperlink r:id="rId27" ref="B25"/>
    <hyperlink r:id="rId28" ref="B26"/>
    <hyperlink r:id="rId29" ref="H26"/>
    <hyperlink r:id="rId30" ref="B27"/>
    <hyperlink r:id="rId31" ref="H27"/>
    <hyperlink r:id="rId32" ref="B28"/>
    <hyperlink r:id="rId33" ref="H28"/>
    <hyperlink r:id="rId34" ref="B29"/>
    <hyperlink r:id="rId35" ref="H29"/>
    <hyperlink r:id="rId36" ref="B30"/>
    <hyperlink r:id="rId37" ref="H30"/>
    <hyperlink r:id="rId38" ref="B31"/>
    <hyperlink r:id="rId39" ref="H31"/>
    <hyperlink r:id="rId40" ref="B32"/>
    <hyperlink r:id="rId41" ref="H32"/>
    <hyperlink r:id="rId42" ref="B33"/>
    <hyperlink r:id="rId43" ref="H33"/>
    <hyperlink r:id="rId44" ref="B34"/>
    <hyperlink r:id="rId45" ref="H34"/>
    <hyperlink r:id="rId46" ref="B35"/>
    <hyperlink r:id="rId47" ref="H35"/>
    <hyperlink r:id="rId48" ref="B36"/>
    <hyperlink r:id="rId49" ref="H37"/>
    <hyperlink r:id="rId50" ref="H38"/>
    <hyperlink r:id="rId51" ref="B43"/>
    <hyperlink r:id="rId52" ref="G43"/>
    <hyperlink r:id="rId53" ref="B44"/>
    <hyperlink r:id="rId54" ref="G44"/>
    <hyperlink r:id="rId55" ref="B45"/>
    <hyperlink r:id="rId56" ref="G45"/>
    <hyperlink r:id="rId57" ref="B46"/>
    <hyperlink r:id="rId58" ref="G46"/>
    <hyperlink r:id="rId59" ref="B47"/>
    <hyperlink r:id="rId60" ref="G47"/>
    <hyperlink r:id="rId61" ref="B48"/>
    <hyperlink r:id="rId62" ref="G48"/>
    <hyperlink r:id="rId63" ref="B49"/>
    <hyperlink r:id="rId64" ref="G49"/>
    <hyperlink r:id="rId65" ref="B50"/>
    <hyperlink r:id="rId66" ref="B51"/>
    <hyperlink r:id="rId67" ref="G51"/>
    <hyperlink r:id="rId68" ref="B53"/>
    <hyperlink r:id="rId69" ref="G53"/>
    <hyperlink r:id="rId70" ref="B54"/>
    <hyperlink r:id="rId71" ref="G54"/>
    <hyperlink r:id="rId72" ref="B55"/>
    <hyperlink r:id="rId73" ref="G55"/>
    <hyperlink r:id="rId74" ref="B56"/>
    <hyperlink r:id="rId75" ref="G56"/>
    <hyperlink r:id="rId76" ref="B60"/>
    <hyperlink r:id="rId77" ref="G60"/>
    <hyperlink r:id="rId78" ref="B61"/>
    <hyperlink r:id="rId79" ref="B62"/>
    <hyperlink r:id="rId80" ref="G62"/>
    <hyperlink r:id="rId81" ref="B63"/>
    <hyperlink r:id="rId82" ref="B64"/>
    <hyperlink r:id="rId83" ref="B65"/>
    <hyperlink r:id="rId84" ref="B66"/>
    <hyperlink r:id="rId85" ref="B67"/>
    <hyperlink r:id="rId86" ref="B68"/>
    <hyperlink r:id="rId87" ref="B69"/>
    <hyperlink r:id="rId88" ref="B70"/>
    <hyperlink r:id="rId89" ref="B71"/>
    <hyperlink r:id="rId90" ref="B72"/>
    <hyperlink r:id="rId91" ref="B73"/>
  </hyperlinks>
  <printOptions/>
  <pageMargins bottom="1.0" footer="0.0" header="0.0" left="0.75" right="0.75" top="1.0"/>
  <pageSetup paperSize="9" orientation="portrait"/>
  <drawing r:id="rId92"/>
  <legacyDrawing r:id="rId93"/>
  <tableParts count="1">
    <tablePart r:id="rId9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4.0"/>
    <col customWidth="1" min="13" max="16" width="26.0"/>
    <col customWidth="1" min="17" max="26" width="8.71"/>
  </cols>
  <sheetData>
    <row r="1" ht="31.5" customHeight="1">
      <c r="A1" s="1" t="s">
        <v>24</v>
      </c>
      <c r="B1" s="1" t="s">
        <v>5</v>
      </c>
      <c r="C1" s="1" t="s">
        <v>33</v>
      </c>
      <c r="D1" s="1" t="s">
        <v>37</v>
      </c>
      <c r="E1" s="1" t="s">
        <v>42</v>
      </c>
      <c r="F1" s="1" t="s">
        <v>46</v>
      </c>
      <c r="G1" s="1" t="s">
        <v>50</v>
      </c>
      <c r="H1" s="1" t="s">
        <v>55</v>
      </c>
      <c r="I1" s="1" t="s">
        <v>56</v>
      </c>
      <c r="J1" s="1" t="s">
        <v>62</v>
      </c>
      <c r="K1" s="1" t="s">
        <v>67</v>
      </c>
      <c r="L1" s="1" t="s">
        <v>70</v>
      </c>
      <c r="M1" s="4" t="s">
        <v>4</v>
      </c>
      <c r="N1" s="4" t="s">
        <v>86</v>
      </c>
      <c r="O1" s="4" t="s">
        <v>89</v>
      </c>
      <c r="P1" s="4" t="s">
        <v>93</v>
      </c>
    </row>
    <row r="2" ht="15.0" customHeight="1">
      <c r="A2" s="6" t="s">
        <v>95</v>
      </c>
      <c r="B2" s="6" t="s">
        <v>101</v>
      </c>
      <c r="C2" s="6" t="s">
        <v>103</v>
      </c>
      <c r="D2" s="6" t="s">
        <v>104</v>
      </c>
      <c r="E2" s="6" t="s">
        <v>105</v>
      </c>
      <c r="F2" s="6" t="s">
        <v>107</v>
      </c>
      <c r="G2" s="6" t="s">
        <v>110</v>
      </c>
      <c r="H2" s="6" t="s">
        <v>111</v>
      </c>
      <c r="I2" s="6" t="s">
        <v>113</v>
      </c>
      <c r="J2" s="6" t="s">
        <v>115</v>
      </c>
      <c r="K2" s="6" t="s">
        <v>117</v>
      </c>
      <c r="L2" s="6" t="s">
        <v>119</v>
      </c>
      <c r="M2" s="8" t="s">
        <v>120</v>
      </c>
      <c r="N2" s="8" t="s">
        <v>122</v>
      </c>
      <c r="O2" s="8" t="s">
        <v>123</v>
      </c>
      <c r="P2" s="8" t="s">
        <v>124</v>
      </c>
    </row>
    <row r="3" ht="15.0" customHeight="1">
      <c r="A3" s="6" t="s">
        <v>125</v>
      </c>
      <c r="B3" s="6" t="s">
        <v>126</v>
      </c>
      <c r="C3" s="6" t="s">
        <v>127</v>
      </c>
      <c r="D3" s="6" t="s">
        <v>128</v>
      </c>
      <c r="E3" s="6" t="s">
        <v>129</v>
      </c>
      <c r="F3" s="6" t="s">
        <v>130</v>
      </c>
      <c r="G3" s="6" t="s">
        <v>132</v>
      </c>
      <c r="H3" s="6" t="s">
        <v>133</v>
      </c>
      <c r="I3" s="6" t="s">
        <v>134</v>
      </c>
      <c r="J3" s="6" t="s">
        <v>135</v>
      </c>
      <c r="K3" s="6" t="s">
        <v>136</v>
      </c>
      <c r="L3" s="6" t="s">
        <v>137</v>
      </c>
      <c r="M3" s="8" t="s">
        <v>138</v>
      </c>
      <c r="N3" s="8" t="s">
        <v>139</v>
      </c>
      <c r="O3" s="8" t="s">
        <v>140</v>
      </c>
      <c r="P3" s="8" t="s">
        <v>142</v>
      </c>
    </row>
    <row r="4" ht="15.0" customHeight="1">
      <c r="A4" s="6" t="s">
        <v>143</v>
      </c>
      <c r="B4" s="6" t="s">
        <v>144</v>
      </c>
      <c r="C4" s="6" t="s">
        <v>145</v>
      </c>
      <c r="D4" s="6" t="s">
        <v>146</v>
      </c>
      <c r="E4" s="6" t="s">
        <v>147</v>
      </c>
      <c r="F4" s="6" t="s">
        <v>148</v>
      </c>
      <c r="G4" s="6" t="s">
        <v>149</v>
      </c>
      <c r="H4" s="6" t="s">
        <v>150</v>
      </c>
      <c r="I4" s="6" t="s">
        <v>151</v>
      </c>
      <c r="J4" s="6" t="s">
        <v>152</v>
      </c>
      <c r="K4" s="6" t="s">
        <v>33</v>
      </c>
      <c r="L4" s="6" t="s">
        <v>153</v>
      </c>
      <c r="M4" s="8" t="s">
        <v>154</v>
      </c>
      <c r="N4" s="8" t="s">
        <v>155</v>
      </c>
      <c r="O4" s="8" t="s">
        <v>156</v>
      </c>
      <c r="P4" s="7"/>
    </row>
    <row r="5" ht="15.0" customHeight="1">
      <c r="A5" s="6" t="s">
        <v>157</v>
      </c>
      <c r="B5" s="6" t="s">
        <v>158</v>
      </c>
      <c r="C5" s="6" t="s">
        <v>159</v>
      </c>
      <c r="D5" s="6" t="s">
        <v>160</v>
      </c>
      <c r="E5" s="6" t="s">
        <v>161</v>
      </c>
      <c r="F5" s="6" t="s">
        <v>162</v>
      </c>
      <c r="G5" s="6" t="s">
        <v>163</v>
      </c>
      <c r="H5" s="6" t="s">
        <v>164</v>
      </c>
      <c r="I5" s="6" t="s">
        <v>165</v>
      </c>
      <c r="J5" s="6" t="s">
        <v>166</v>
      </c>
      <c r="K5" s="6" t="s">
        <v>167</v>
      </c>
      <c r="L5" s="6" t="s">
        <v>168</v>
      </c>
      <c r="M5" s="7"/>
      <c r="N5" s="8" t="s">
        <v>170</v>
      </c>
      <c r="O5" s="7"/>
      <c r="P5" s="7"/>
    </row>
    <row r="6" ht="15.0" customHeight="1">
      <c r="A6" s="6" t="s">
        <v>171</v>
      </c>
      <c r="B6" s="6" t="s">
        <v>172</v>
      </c>
      <c r="C6" s="6" t="s">
        <v>173</v>
      </c>
      <c r="D6" s="6" t="s">
        <v>174</v>
      </c>
      <c r="E6" s="6" t="s">
        <v>175</v>
      </c>
      <c r="F6" s="6" t="s">
        <v>177</v>
      </c>
      <c r="G6" s="6" t="s">
        <v>178</v>
      </c>
      <c r="H6" s="6" t="s">
        <v>179</v>
      </c>
      <c r="I6" s="6" t="s">
        <v>180</v>
      </c>
      <c r="J6" s="6"/>
      <c r="K6" s="6" t="s">
        <v>181</v>
      </c>
      <c r="L6" s="6" t="s">
        <v>182</v>
      </c>
      <c r="M6" s="7"/>
      <c r="N6" s="8" t="s">
        <v>184</v>
      </c>
      <c r="O6" s="7"/>
      <c r="P6" s="7"/>
    </row>
    <row r="7" ht="15.0" customHeight="1">
      <c r="A7" s="6" t="s">
        <v>185</v>
      </c>
      <c r="B7" s="6" t="s">
        <v>187</v>
      </c>
      <c r="C7" s="6" t="s">
        <v>189</v>
      </c>
      <c r="D7" s="6" t="s">
        <v>191</v>
      </c>
      <c r="E7" s="6" t="s">
        <v>193</v>
      </c>
      <c r="F7" s="6" t="s">
        <v>194</v>
      </c>
      <c r="G7" s="6" t="s">
        <v>196</v>
      </c>
      <c r="H7" s="6" t="s">
        <v>198</v>
      </c>
      <c r="I7" s="6" t="s">
        <v>199</v>
      </c>
      <c r="J7" s="6"/>
      <c r="K7" s="6" t="s">
        <v>200</v>
      </c>
      <c r="L7" s="6" t="s">
        <v>201</v>
      </c>
      <c r="M7" s="7"/>
      <c r="N7" s="7"/>
      <c r="O7" s="7"/>
      <c r="P7" s="7"/>
    </row>
    <row r="8" ht="15.0" customHeight="1">
      <c r="A8" s="6" t="s">
        <v>202</v>
      </c>
      <c r="B8" s="6"/>
      <c r="C8" s="6" t="s">
        <v>205</v>
      </c>
      <c r="D8" s="6" t="s">
        <v>207</v>
      </c>
      <c r="E8" s="6" t="s">
        <v>208</v>
      </c>
      <c r="F8" s="6" t="s">
        <v>209</v>
      </c>
      <c r="G8" s="6" t="s">
        <v>210</v>
      </c>
      <c r="H8" s="6" t="s">
        <v>212</v>
      </c>
      <c r="I8" s="6" t="s">
        <v>213</v>
      </c>
      <c r="J8" s="6"/>
      <c r="K8" s="6" t="s">
        <v>214</v>
      </c>
      <c r="L8" s="6" t="s">
        <v>215</v>
      </c>
      <c r="M8" s="7"/>
      <c r="N8" s="7"/>
      <c r="O8" s="7"/>
      <c r="P8" s="7"/>
    </row>
    <row r="9" ht="15.0" customHeight="1">
      <c r="A9" s="6" t="s">
        <v>217</v>
      </c>
      <c r="B9" s="6"/>
      <c r="C9" s="6" t="s">
        <v>218</v>
      </c>
      <c r="D9" s="6" t="s">
        <v>219</v>
      </c>
      <c r="E9" s="6" t="s">
        <v>220</v>
      </c>
      <c r="F9" s="6" t="s">
        <v>11</v>
      </c>
      <c r="G9" s="6" t="s">
        <v>221</v>
      </c>
      <c r="H9" s="6" t="s">
        <v>223</v>
      </c>
      <c r="I9" s="6" t="s">
        <v>224</v>
      </c>
      <c r="J9" s="6"/>
      <c r="K9" s="6" t="s">
        <v>225</v>
      </c>
      <c r="L9" s="6" t="s">
        <v>226</v>
      </c>
      <c r="M9" s="7"/>
      <c r="N9" s="7"/>
      <c r="O9" s="7"/>
      <c r="P9" s="7"/>
    </row>
    <row r="10" ht="15.0" customHeight="1">
      <c r="A10" s="6" t="s">
        <v>227</v>
      </c>
      <c r="B10" s="6"/>
      <c r="C10" s="6" t="s">
        <v>228</v>
      </c>
      <c r="D10" s="6" t="s">
        <v>229</v>
      </c>
      <c r="E10" s="6" t="s">
        <v>230</v>
      </c>
      <c r="F10" s="6" t="s">
        <v>231</v>
      </c>
      <c r="G10" s="6" t="s">
        <v>232</v>
      </c>
      <c r="H10" s="6" t="s">
        <v>233</v>
      </c>
      <c r="I10" s="6" t="s">
        <v>228</v>
      </c>
      <c r="J10" s="6"/>
      <c r="K10" s="6" t="s">
        <v>234</v>
      </c>
      <c r="L10" s="6" t="s">
        <v>235</v>
      </c>
      <c r="M10" s="7"/>
      <c r="N10" s="7"/>
      <c r="O10" s="7"/>
      <c r="P10" s="7"/>
    </row>
    <row r="11" ht="15.0" customHeight="1">
      <c r="A11" s="6" t="s">
        <v>236</v>
      </c>
      <c r="B11" s="6"/>
      <c r="C11" s="6"/>
      <c r="D11" s="6" t="s">
        <v>228</v>
      </c>
      <c r="E11" s="6" t="s">
        <v>238</v>
      </c>
      <c r="F11" s="6" t="s">
        <v>239</v>
      </c>
      <c r="G11" s="6" t="s">
        <v>241</v>
      </c>
      <c r="H11" s="6" t="s">
        <v>242</v>
      </c>
      <c r="I11" s="6"/>
      <c r="J11" s="6"/>
      <c r="K11" s="6" t="s">
        <v>232</v>
      </c>
      <c r="L11" s="6" t="s">
        <v>245</v>
      </c>
      <c r="M11" s="7"/>
      <c r="N11" s="7"/>
      <c r="O11" s="7"/>
      <c r="P11" s="7"/>
    </row>
    <row r="12" ht="15.0" customHeight="1">
      <c r="A12" s="6"/>
      <c r="B12" s="6"/>
      <c r="C12" s="6"/>
      <c r="D12" s="6"/>
      <c r="E12" s="6" t="s">
        <v>249</v>
      </c>
      <c r="F12" s="6" t="s">
        <v>251</v>
      </c>
      <c r="G12" s="6" t="s">
        <v>252</v>
      </c>
      <c r="H12" s="6" t="s">
        <v>253</v>
      </c>
      <c r="I12" s="6"/>
      <c r="J12" s="6"/>
      <c r="K12" s="6" t="s">
        <v>254</v>
      </c>
      <c r="L12" s="6" t="s">
        <v>255</v>
      </c>
      <c r="M12" s="7"/>
      <c r="N12" s="7"/>
      <c r="O12" s="7"/>
      <c r="P12" s="7"/>
    </row>
    <row r="13" ht="15.0" customHeight="1">
      <c r="A13" s="6"/>
      <c r="B13" s="6"/>
      <c r="C13" s="6"/>
      <c r="D13" s="6"/>
      <c r="E13" s="6"/>
      <c r="F13" s="6" t="s">
        <v>258</v>
      </c>
      <c r="G13" s="6" t="s">
        <v>259</v>
      </c>
      <c r="H13" s="6" t="s">
        <v>208</v>
      </c>
      <c r="I13" s="6"/>
      <c r="J13" s="6"/>
      <c r="K13" s="6" t="s">
        <v>260</v>
      </c>
      <c r="L13" s="6" t="s">
        <v>262</v>
      </c>
      <c r="M13" s="7"/>
      <c r="N13" s="7"/>
      <c r="O13" s="7"/>
      <c r="P13" s="7"/>
    </row>
    <row r="14" ht="15.0" customHeight="1">
      <c r="A14" s="6"/>
      <c r="B14" s="6"/>
      <c r="C14" s="6"/>
      <c r="D14" s="6"/>
      <c r="E14" s="6"/>
      <c r="F14" s="6" t="s">
        <v>23</v>
      </c>
      <c r="G14" s="6" t="s">
        <v>228</v>
      </c>
      <c r="H14" s="6" t="s">
        <v>267</v>
      </c>
      <c r="I14" s="6"/>
      <c r="J14" s="6"/>
      <c r="K14" s="6" t="s">
        <v>271</v>
      </c>
      <c r="L14" s="6"/>
      <c r="M14" s="7"/>
      <c r="N14" s="7"/>
      <c r="O14" s="7"/>
      <c r="P14" s="7"/>
    </row>
    <row r="15" ht="15.0" customHeight="1">
      <c r="A15" s="6"/>
      <c r="B15" s="6"/>
      <c r="C15" s="6"/>
      <c r="D15" s="6"/>
      <c r="E15" s="6"/>
      <c r="F15" s="6" t="s">
        <v>277</v>
      </c>
      <c r="G15" s="6"/>
      <c r="H15" s="6" t="s">
        <v>228</v>
      </c>
      <c r="I15" s="6"/>
      <c r="J15" s="6"/>
      <c r="K15" s="6"/>
      <c r="L15" s="6"/>
      <c r="M15" s="7"/>
      <c r="N15" s="7"/>
      <c r="O15" s="7"/>
      <c r="P15" s="7"/>
    </row>
    <row r="16" ht="15.0" customHeight="1">
      <c r="A16" s="6"/>
      <c r="B16" s="6"/>
      <c r="C16" s="6"/>
      <c r="D16" s="6"/>
      <c r="E16" s="6"/>
      <c r="F16" s="6" t="s">
        <v>282</v>
      </c>
      <c r="G16" s="6"/>
      <c r="H16" s="6"/>
      <c r="I16" s="6"/>
      <c r="J16" s="6"/>
      <c r="K16" s="6"/>
      <c r="L16" s="6"/>
      <c r="M16" s="7"/>
      <c r="N16" s="7"/>
      <c r="O16" s="7"/>
      <c r="P16" s="7"/>
    </row>
    <row r="17" ht="15.0" customHeight="1">
      <c r="A17" s="6"/>
      <c r="B17" s="6"/>
      <c r="C17" s="6"/>
      <c r="D17" s="6"/>
      <c r="E17" s="6"/>
      <c r="F17" s="6" t="s">
        <v>284</v>
      </c>
      <c r="G17" s="6"/>
      <c r="H17" s="6"/>
      <c r="I17" s="6"/>
      <c r="J17" s="6"/>
      <c r="K17" s="6"/>
      <c r="L17" s="6"/>
      <c r="M17" s="7"/>
      <c r="N17" s="7"/>
      <c r="O17" s="7"/>
      <c r="P17" s="7"/>
    </row>
    <row r="18" ht="15.0" customHeight="1">
      <c r="A18" s="6"/>
      <c r="B18" s="6"/>
      <c r="C18" s="6"/>
      <c r="D18" s="6"/>
      <c r="E18" s="6"/>
      <c r="F18" s="6" t="s">
        <v>81</v>
      </c>
      <c r="G18" s="6"/>
      <c r="H18" s="6"/>
      <c r="I18" s="6"/>
      <c r="J18" s="6"/>
      <c r="K18" s="6"/>
      <c r="L18" s="6"/>
      <c r="M18" s="7"/>
      <c r="N18" s="7"/>
      <c r="O18" s="7"/>
      <c r="P18" s="7"/>
    </row>
    <row r="19" ht="15.0" customHeight="1">
      <c r="A19" s="6"/>
      <c r="B19" s="6"/>
      <c r="C19" s="6"/>
      <c r="D19" s="6"/>
      <c r="E19" s="6"/>
      <c r="F19" s="6" t="s">
        <v>290</v>
      </c>
      <c r="G19" s="6"/>
      <c r="H19" s="6"/>
      <c r="I19" s="6"/>
      <c r="J19" s="6"/>
      <c r="K19" s="6"/>
      <c r="L19" s="6"/>
      <c r="M19" s="7"/>
      <c r="N19" s="7"/>
      <c r="O19" s="7"/>
      <c r="P19" s="7"/>
    </row>
    <row r="20" ht="15.0" customHeight="1">
      <c r="A20" s="6"/>
      <c r="B20" s="6"/>
      <c r="C20" s="6"/>
      <c r="D20" s="6"/>
      <c r="E20" s="6"/>
      <c r="F20" s="6" t="s">
        <v>297</v>
      </c>
      <c r="G20" s="6"/>
      <c r="H20" s="6"/>
      <c r="I20" s="6"/>
      <c r="J20" s="6"/>
      <c r="K20" s="6"/>
      <c r="L20" s="6"/>
      <c r="M20" s="7"/>
      <c r="N20" s="7"/>
      <c r="O20" s="7"/>
      <c r="P20" s="7"/>
    </row>
    <row r="21" ht="15.0" customHeight="1">
      <c r="A21" s="6"/>
      <c r="B21" s="6"/>
      <c r="C21" s="6"/>
      <c r="D21" s="6"/>
      <c r="E21" s="6"/>
      <c r="F21" s="6" t="s">
        <v>300</v>
      </c>
      <c r="G21" s="6"/>
      <c r="H21" s="6"/>
      <c r="I21" s="6"/>
      <c r="J21" s="6"/>
      <c r="K21" s="6"/>
      <c r="L21" s="6"/>
      <c r="M21" s="7"/>
      <c r="N21" s="7"/>
      <c r="O21" s="7"/>
      <c r="P21" s="7"/>
    </row>
    <row r="22" ht="15.0" customHeight="1">
      <c r="A22" s="6"/>
      <c r="B22" s="6"/>
      <c r="C22" s="6"/>
      <c r="D22" s="6"/>
      <c r="E22" s="6"/>
      <c r="F22" s="6" t="s">
        <v>302</v>
      </c>
      <c r="G22" s="6"/>
      <c r="H22" s="6"/>
      <c r="I22" s="6"/>
      <c r="J22" s="6"/>
      <c r="K22" s="6"/>
      <c r="L22" s="6"/>
      <c r="M22" s="7"/>
      <c r="N22" s="7"/>
      <c r="O22" s="7"/>
      <c r="P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0.0"/>
    <col customWidth="1" min="3" max="3" width="22.0"/>
    <col customWidth="1" min="4" max="4" width="16.0"/>
    <col customWidth="1" min="5" max="5" width="62.0"/>
    <col customWidth="1" min="6" max="6" width="50.0"/>
    <col customWidth="1" min="7" max="7" width="62.0"/>
    <col customWidth="1" min="8" max="8" width="20.0"/>
    <col customWidth="1" min="9" max="26" width="8.71"/>
  </cols>
  <sheetData>
    <row r="1" ht="31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</row>
    <row r="2" ht="15.0" customHeight="1">
      <c r="A2" s="3" t="s">
        <v>11</v>
      </c>
      <c r="B2" s="3" t="s">
        <v>13</v>
      </c>
      <c r="C2" s="3" t="s">
        <v>15</v>
      </c>
      <c r="D2" s="3" t="s">
        <v>16</v>
      </c>
      <c r="E2" s="3" t="s">
        <v>17</v>
      </c>
      <c r="F2" s="3" t="s">
        <v>19</v>
      </c>
      <c r="G2" s="3" t="s">
        <v>20</v>
      </c>
      <c r="H2" s="3" t="s">
        <v>21</v>
      </c>
    </row>
    <row r="3" ht="15.0" customHeight="1">
      <c r="A3" s="3" t="s">
        <v>23</v>
      </c>
      <c r="B3" s="3" t="s">
        <v>26</v>
      </c>
      <c r="C3" s="3" t="s">
        <v>27</v>
      </c>
      <c r="D3" s="3" t="s">
        <v>16</v>
      </c>
      <c r="E3" s="3" t="s">
        <v>28</v>
      </c>
      <c r="F3" s="3" t="s">
        <v>29</v>
      </c>
      <c r="G3" s="3" t="s">
        <v>31</v>
      </c>
      <c r="H3" s="3" t="s">
        <v>32</v>
      </c>
    </row>
    <row r="4" ht="15.0" customHeight="1">
      <c r="A4" s="3" t="s">
        <v>35</v>
      </c>
      <c r="B4" s="3" t="s">
        <v>36</v>
      </c>
      <c r="C4" s="3" t="s">
        <v>38</v>
      </c>
      <c r="D4" s="3" t="s">
        <v>16</v>
      </c>
      <c r="E4" s="3" t="s">
        <v>39</v>
      </c>
      <c r="F4" s="3" t="s">
        <v>41</v>
      </c>
      <c r="G4" s="3" t="s">
        <v>43</v>
      </c>
      <c r="H4" s="3" t="s">
        <v>45</v>
      </c>
    </row>
    <row r="5" ht="15.0" customHeight="1">
      <c r="A5" s="3" t="s">
        <v>48</v>
      </c>
      <c r="B5" s="3" t="s">
        <v>51</v>
      </c>
      <c r="C5" s="3" t="s">
        <v>52</v>
      </c>
      <c r="D5" s="3" t="s">
        <v>16</v>
      </c>
      <c r="E5" s="3" t="s">
        <v>53</v>
      </c>
      <c r="F5" s="3" t="s">
        <v>54</v>
      </c>
      <c r="G5" s="3" t="s">
        <v>53</v>
      </c>
      <c r="H5" s="3" t="s">
        <v>45</v>
      </c>
    </row>
    <row r="6" ht="15.0" customHeight="1">
      <c r="A6" s="3" t="s">
        <v>57</v>
      </c>
      <c r="B6" s="3" t="s">
        <v>59</v>
      </c>
      <c r="C6" s="3" t="s">
        <v>60</v>
      </c>
      <c r="D6" s="3" t="s">
        <v>61</v>
      </c>
      <c r="E6" s="3" t="s">
        <v>63</v>
      </c>
      <c r="F6" s="3" t="s">
        <v>65</v>
      </c>
      <c r="G6" s="3" t="s">
        <v>68</v>
      </c>
      <c r="H6" s="3" t="s">
        <v>21</v>
      </c>
    </row>
    <row r="7" ht="15.0" customHeight="1">
      <c r="A7" s="3" t="s">
        <v>71</v>
      </c>
      <c r="B7" s="3" t="s">
        <v>73</v>
      </c>
      <c r="C7" s="3" t="s">
        <v>74</v>
      </c>
      <c r="D7" s="3" t="s">
        <v>16</v>
      </c>
      <c r="E7" s="3" t="s">
        <v>76</v>
      </c>
      <c r="F7" s="3" t="s">
        <v>78</v>
      </c>
      <c r="G7" s="3" t="s">
        <v>79</v>
      </c>
      <c r="H7" s="3" t="s">
        <v>21</v>
      </c>
    </row>
    <row r="8" ht="15.0" customHeight="1">
      <c r="A8" s="3" t="s">
        <v>81</v>
      </c>
      <c r="B8" s="3" t="s">
        <v>83</v>
      </c>
      <c r="C8" s="3" t="s">
        <v>84</v>
      </c>
      <c r="D8" s="3" t="s">
        <v>16</v>
      </c>
      <c r="E8" s="3" t="s">
        <v>87</v>
      </c>
      <c r="F8" s="3" t="s">
        <v>88</v>
      </c>
      <c r="G8" s="3" t="s">
        <v>90</v>
      </c>
      <c r="H8" s="3" t="s">
        <v>92</v>
      </c>
    </row>
    <row r="9" ht="15.0" customHeight="1">
      <c r="A9" s="5" t="s">
        <v>94</v>
      </c>
      <c r="B9" s="5" t="s">
        <v>96</v>
      </c>
      <c r="C9" s="5" t="s">
        <v>97</v>
      </c>
      <c r="D9" s="5" t="s">
        <v>98</v>
      </c>
      <c r="E9" s="5" t="s">
        <v>99</v>
      </c>
      <c r="F9" s="5" t="s">
        <v>100</v>
      </c>
      <c r="G9" s="5" t="s">
        <v>102</v>
      </c>
      <c r="H9" s="5" t="s">
        <v>21</v>
      </c>
    </row>
    <row r="10" ht="15.0" customHeight="1">
      <c r="A10" s="3" t="s">
        <v>106</v>
      </c>
      <c r="B10" s="3" t="s">
        <v>108</v>
      </c>
      <c r="C10" s="3" t="s">
        <v>109</v>
      </c>
      <c r="D10" s="3" t="s">
        <v>16</v>
      </c>
      <c r="E10" s="3" t="s">
        <v>112</v>
      </c>
      <c r="F10" s="3" t="s">
        <v>114</v>
      </c>
      <c r="G10" s="3" t="s">
        <v>116</v>
      </c>
      <c r="H10" s="3" t="s">
        <v>118</v>
      </c>
    </row>
    <row r="11">
      <c r="A11" s="7"/>
      <c r="B11" s="7"/>
      <c r="C11" s="7"/>
      <c r="D11" s="7"/>
      <c r="E11" s="7"/>
      <c r="F11" s="7"/>
      <c r="G11" s="7"/>
      <c r="H11" s="7"/>
    </row>
    <row r="12">
      <c r="A12" s="7"/>
      <c r="B12" s="7"/>
      <c r="C12" s="7"/>
      <c r="D12" s="7"/>
      <c r="E12" s="7"/>
      <c r="F12" s="7"/>
      <c r="G12" s="7"/>
      <c r="H12" s="7"/>
    </row>
    <row r="13">
      <c r="A13" s="7"/>
      <c r="B13" s="7"/>
      <c r="C13" s="7"/>
      <c r="D13" s="7"/>
      <c r="E13" s="7"/>
      <c r="F13" s="7"/>
      <c r="G13" s="7"/>
      <c r="H13" s="7"/>
    </row>
    <row r="14">
      <c r="A14" s="7"/>
      <c r="B14" s="7"/>
      <c r="C14" s="7"/>
      <c r="D14" s="7"/>
      <c r="E14" s="7"/>
      <c r="F14" s="7"/>
      <c r="G14" s="7"/>
      <c r="H14" s="7"/>
    </row>
    <row r="15">
      <c r="A15" s="7"/>
      <c r="B15" s="7"/>
      <c r="C15" s="7"/>
      <c r="D15" s="7"/>
      <c r="E15" s="7"/>
      <c r="F15" s="7"/>
      <c r="G15" s="7"/>
      <c r="H15" s="7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 ht="15.75" customHeight="1">
      <c r="A21" s="7"/>
      <c r="B21" s="7"/>
      <c r="C21" s="7"/>
      <c r="D21" s="7"/>
      <c r="E21" s="7"/>
      <c r="F21" s="7"/>
      <c r="G21" s="7"/>
      <c r="H21" s="7"/>
    </row>
    <row r="22" ht="15.75" customHeight="1">
      <c r="A22" s="7"/>
      <c r="B22" s="7"/>
      <c r="C22" s="7"/>
      <c r="D22" s="7"/>
      <c r="E22" s="7"/>
      <c r="F22" s="7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15.75" customHeight="1">
      <c r="A1" s="60" t="s">
        <v>789</v>
      </c>
      <c r="B1" s="61"/>
    </row>
    <row r="2" ht="15.0" customHeight="1">
      <c r="A2" s="62"/>
      <c r="B2" s="61"/>
    </row>
    <row r="3" ht="23.25" customHeight="1">
      <c r="A3" s="63" t="s">
        <v>790</v>
      </c>
      <c r="B3" s="61" t="s">
        <v>791</v>
      </c>
    </row>
    <row r="4" ht="23.25" customHeight="1">
      <c r="A4" s="63" t="s">
        <v>792</v>
      </c>
      <c r="B4" s="61" t="s">
        <v>793</v>
      </c>
    </row>
    <row r="5" ht="23.25" customHeight="1">
      <c r="A5" s="64" t="s">
        <v>794</v>
      </c>
      <c r="B5" s="61" t="s">
        <v>795</v>
      </c>
    </row>
    <row r="6" ht="15.0" customHeight="1">
      <c r="A6" s="64" t="s">
        <v>796</v>
      </c>
      <c r="B6" s="61" t="s">
        <v>797</v>
      </c>
    </row>
    <row r="7" ht="15.0" customHeight="1">
      <c r="A7" s="64" t="s">
        <v>798</v>
      </c>
      <c r="B7" s="61" t="s">
        <v>799</v>
      </c>
    </row>
    <row r="8" ht="15.0" customHeight="1">
      <c r="A8" s="64" t="s">
        <v>800</v>
      </c>
      <c r="B8" s="61" t="s">
        <v>801</v>
      </c>
    </row>
    <row r="9" ht="15.0" customHeight="1">
      <c r="A9" s="64" t="s">
        <v>802</v>
      </c>
      <c r="B9" s="61" t="s">
        <v>803</v>
      </c>
    </row>
    <row r="10" ht="15.0" customHeight="1">
      <c r="A10" s="64" t="s">
        <v>804</v>
      </c>
      <c r="B10" s="61" t="s">
        <v>805</v>
      </c>
    </row>
    <row r="11" ht="15.0" customHeight="1">
      <c r="A11" s="62"/>
      <c r="B11" s="61"/>
    </row>
    <row r="12" ht="15.0" customHeight="1">
      <c r="A12" s="64" t="s">
        <v>806</v>
      </c>
      <c r="B12" s="61" t="s">
        <v>807</v>
      </c>
    </row>
    <row r="13" ht="15.0" customHeight="1">
      <c r="A13" s="64" t="s">
        <v>808</v>
      </c>
      <c r="B13" s="61" t="s">
        <v>809</v>
      </c>
    </row>
    <row r="14" ht="15.0" customHeight="1">
      <c r="A14" s="64" t="s">
        <v>810</v>
      </c>
      <c r="B14" s="61" t="s">
        <v>811</v>
      </c>
    </row>
    <row r="15" ht="23.25" customHeight="1">
      <c r="A15" s="64" t="s">
        <v>812</v>
      </c>
      <c r="B15" s="61" t="s">
        <v>813</v>
      </c>
    </row>
    <row r="16" ht="23.25" customHeight="1">
      <c r="A16" s="62"/>
      <c r="B16" s="61"/>
    </row>
    <row r="17" ht="15.0" customHeight="1">
      <c r="A17" s="64" t="s">
        <v>273</v>
      </c>
      <c r="B17" s="61" t="s">
        <v>814</v>
      </c>
    </row>
    <row r="18" ht="23.25" customHeight="1">
      <c r="A18" s="64" t="s">
        <v>93</v>
      </c>
      <c r="B18" s="61" t="s">
        <v>815</v>
      </c>
    </row>
    <row r="19" ht="23.25" customHeight="1">
      <c r="A19" s="62"/>
      <c r="B19" s="61"/>
    </row>
    <row r="20">
      <c r="A20" s="64" t="s">
        <v>816</v>
      </c>
      <c r="B20" s="61" t="s">
        <v>817</v>
      </c>
    </row>
    <row r="21" ht="15.75" customHeight="1">
      <c r="A21" s="64" t="s">
        <v>818</v>
      </c>
      <c r="B21" s="61" t="s">
        <v>819</v>
      </c>
    </row>
    <row r="22" ht="15.75" customHeight="1">
      <c r="A22" s="7"/>
      <c r="B22" s="7"/>
    </row>
    <row r="23" ht="15.75" customHeight="1">
      <c r="A23" s="7"/>
      <c r="B23" s="7"/>
    </row>
    <row r="24" ht="15.75" customHeight="1">
      <c r="A24" s="7"/>
      <c r="B24" s="7"/>
    </row>
    <row r="25" ht="15.75" customHeight="1">
      <c r="A25" s="7"/>
      <c r="B25" s="7"/>
    </row>
    <row r="26" ht="15.75" customHeight="1">
      <c r="A26" s="7"/>
      <c r="B26" s="7"/>
    </row>
    <row r="27" ht="15.75" customHeight="1">
      <c r="A27" s="7"/>
      <c r="B27" s="7"/>
    </row>
    <row r="28" ht="15.75" customHeight="1">
      <c r="A28" s="7"/>
      <c r="B28" s="7"/>
    </row>
    <row r="29" ht="15.75" customHeight="1">
      <c r="A29" s="7"/>
      <c r="B29" s="7"/>
    </row>
    <row r="30" ht="15.75" customHeight="1">
      <c r="A30" s="7"/>
      <c r="B30" s="7"/>
    </row>
    <row r="31" ht="15.75" customHeight="1">
      <c r="A31" s="7"/>
      <c r="B31" s="7"/>
    </row>
    <row r="32" ht="15.75" customHeight="1">
      <c r="A32" s="7"/>
      <c r="B32" s="7"/>
    </row>
    <row r="33" ht="15.75" customHeight="1">
      <c r="A33" s="7"/>
      <c r="B33" s="7"/>
    </row>
    <row r="34" ht="15.75" customHeight="1">
      <c r="A34" s="7"/>
      <c r="B34" s="7"/>
    </row>
    <row r="35" ht="15.75" customHeight="1">
      <c r="A35" s="7"/>
      <c r="B35" s="7"/>
    </row>
    <row r="36" ht="15.75" customHeight="1">
      <c r="A36" s="7"/>
      <c r="B36" s="7"/>
    </row>
    <row r="37" ht="15.75" customHeight="1">
      <c r="A37" s="7"/>
      <c r="B37" s="7"/>
    </row>
    <row r="38" ht="15.75" customHeight="1">
      <c r="A38" s="7"/>
      <c r="B38" s="7"/>
    </row>
    <row r="39" ht="15.75" customHeight="1">
      <c r="A39" s="7"/>
      <c r="B39" s="7"/>
    </row>
    <row r="40" ht="15.75" customHeight="1">
      <c r="A40" s="7"/>
      <c r="B40" s="7"/>
    </row>
    <row r="41" ht="15.75" customHeight="1">
      <c r="A41" s="7"/>
      <c r="B41" s="7"/>
    </row>
    <row r="42" ht="15.75" customHeight="1">
      <c r="A42" s="7"/>
      <c r="B42" s="7"/>
    </row>
    <row r="43" ht="15.75" customHeight="1">
      <c r="A43" s="7"/>
      <c r="B43" s="7"/>
    </row>
    <row r="44" ht="15.75" customHeight="1">
      <c r="A44" s="7"/>
      <c r="B44" s="7"/>
    </row>
    <row r="45" ht="15.75" customHeight="1">
      <c r="A45" s="7"/>
      <c r="B45" s="7"/>
    </row>
    <row r="46" ht="15.75" customHeight="1">
      <c r="A46" s="7"/>
      <c r="B46" s="7"/>
    </row>
    <row r="47" ht="15.75" customHeight="1">
      <c r="A47" s="7"/>
      <c r="B47" s="7"/>
    </row>
    <row r="48" ht="15.75" customHeight="1">
      <c r="A48" s="7"/>
      <c r="B48" s="7"/>
    </row>
    <row r="49" ht="15.75" customHeight="1">
      <c r="A49" s="7"/>
      <c r="B49" s="7"/>
    </row>
    <row r="50" ht="15.75" customHeight="1">
      <c r="A50" s="7"/>
      <c r="B50" s="7"/>
    </row>
    <row r="51" ht="15.75" customHeight="1">
      <c r="A51" s="7"/>
      <c r="B51" s="7"/>
    </row>
    <row r="52" ht="15.75" customHeight="1">
      <c r="A52" s="7"/>
      <c r="B52" s="7"/>
    </row>
    <row r="53" ht="15.75" customHeight="1">
      <c r="A53" s="7"/>
      <c r="B53" s="7"/>
    </row>
    <row r="54" ht="15.75" customHeight="1">
      <c r="A54" s="7"/>
      <c r="B54" s="7"/>
    </row>
    <row r="55" ht="15.75" customHeight="1">
      <c r="A55" s="7"/>
      <c r="B55" s="7"/>
    </row>
    <row r="56" ht="15.75" customHeight="1">
      <c r="A56" s="7"/>
      <c r="B56" s="7"/>
    </row>
    <row r="57" ht="15.75" customHeight="1">
      <c r="A57" s="7"/>
      <c r="B57" s="7"/>
    </row>
    <row r="58" ht="15.75" customHeight="1">
      <c r="A58" s="7"/>
      <c r="B58" s="7"/>
    </row>
    <row r="59" ht="15.75" customHeight="1">
      <c r="A59" s="7"/>
      <c r="B59" s="7"/>
    </row>
    <row r="60" ht="15.75" customHeight="1">
      <c r="A60" s="7"/>
      <c r="B60" s="7"/>
    </row>
    <row r="61" ht="15.75" customHeight="1">
      <c r="A61" s="7"/>
      <c r="B61" s="7"/>
    </row>
    <row r="62" ht="15.75" customHeight="1">
      <c r="A62" s="7"/>
      <c r="B62" s="7"/>
    </row>
    <row r="63" ht="15.75" customHeight="1">
      <c r="A63" s="7"/>
      <c r="B63" s="7"/>
    </row>
    <row r="64" ht="15.75" customHeight="1">
      <c r="A64" s="7"/>
      <c r="B64" s="7"/>
    </row>
    <row r="65" ht="15.75" customHeight="1">
      <c r="A65" s="7"/>
      <c r="B65" s="7"/>
    </row>
    <row r="66" ht="15.75" customHeight="1">
      <c r="A66" s="7"/>
      <c r="B66" s="7"/>
    </row>
    <row r="67" ht="15.75" customHeight="1">
      <c r="A67" s="7"/>
      <c r="B67" s="7"/>
    </row>
    <row r="68" ht="15.75" customHeight="1">
      <c r="A68" s="7"/>
      <c r="B68" s="7"/>
    </row>
    <row r="69" ht="15.75" customHeight="1">
      <c r="A69" s="7"/>
      <c r="B69" s="7"/>
    </row>
    <row r="70" ht="15.75" customHeight="1">
      <c r="A70" s="7"/>
      <c r="B70" s="7"/>
    </row>
    <row r="71" ht="15.75" customHeight="1">
      <c r="A71" s="7"/>
      <c r="B71" s="7"/>
    </row>
    <row r="72" ht="15.75" customHeight="1">
      <c r="A72" s="7"/>
      <c r="B72" s="7"/>
    </row>
    <row r="73" ht="15.75" customHeight="1">
      <c r="A73" s="7"/>
      <c r="B73" s="7"/>
    </row>
    <row r="74" ht="15.75" customHeight="1">
      <c r="A74" s="7"/>
      <c r="B74" s="7"/>
    </row>
    <row r="75" ht="15.75" customHeight="1">
      <c r="A75" s="7"/>
      <c r="B75" s="7"/>
    </row>
    <row r="76" ht="15.75" customHeight="1">
      <c r="A76" s="7"/>
      <c r="B76" s="7"/>
    </row>
    <row r="77" ht="15.75" customHeight="1">
      <c r="A77" s="7"/>
      <c r="B77" s="7"/>
    </row>
    <row r="78" ht="15.75" customHeight="1">
      <c r="A78" s="7"/>
      <c r="B78" s="7"/>
    </row>
    <row r="79" ht="15.75" customHeight="1">
      <c r="A79" s="7"/>
      <c r="B79" s="7"/>
    </row>
    <row r="80" ht="15.75" customHeight="1">
      <c r="A80" s="7"/>
      <c r="B80" s="7"/>
    </row>
    <row r="81" ht="15.75" customHeight="1">
      <c r="A81" s="7"/>
      <c r="B81" s="7"/>
    </row>
    <row r="82" ht="15.75" customHeight="1">
      <c r="A82" s="7"/>
      <c r="B82" s="7"/>
    </row>
    <row r="83" ht="15.75" customHeight="1">
      <c r="A83" s="7"/>
      <c r="B83" s="7"/>
    </row>
    <row r="84" ht="15.75" customHeight="1">
      <c r="A84" s="7"/>
      <c r="B84" s="7"/>
    </row>
    <row r="85" ht="15.75" customHeight="1">
      <c r="A85" s="7"/>
      <c r="B85" s="7"/>
    </row>
    <row r="86" ht="15.75" customHeight="1">
      <c r="A86" s="7"/>
      <c r="B86" s="7"/>
    </row>
    <row r="87" ht="15.75" customHeight="1">
      <c r="A87" s="7"/>
      <c r="B87" s="7"/>
    </row>
    <row r="88" ht="15.75" customHeight="1">
      <c r="A88" s="7"/>
      <c r="B88" s="7"/>
    </row>
    <row r="89" ht="15.75" customHeight="1">
      <c r="A89" s="7"/>
      <c r="B89" s="7"/>
    </row>
    <row r="90" ht="15.75" customHeight="1">
      <c r="A90" s="7"/>
      <c r="B90" s="7"/>
    </row>
    <row r="91" ht="15.75" customHeight="1">
      <c r="A91" s="7"/>
      <c r="B91" s="7"/>
    </row>
    <row r="92" ht="15.75" customHeight="1">
      <c r="A92" s="7"/>
      <c r="B92" s="7"/>
    </row>
    <row r="93" ht="15.75" customHeight="1">
      <c r="A93" s="7"/>
      <c r="B93" s="7"/>
    </row>
    <row r="94" ht="15.75" customHeight="1">
      <c r="A94" s="7"/>
      <c r="B94" s="7"/>
    </row>
    <row r="95" ht="15.75" customHeight="1">
      <c r="A95" s="7"/>
      <c r="B95" s="7"/>
    </row>
    <row r="96" ht="15.75" customHeight="1">
      <c r="A96" s="7"/>
      <c r="B96" s="7"/>
    </row>
    <row r="97" ht="15.75" customHeight="1">
      <c r="A97" s="7"/>
      <c r="B97" s="7"/>
    </row>
    <row r="98" ht="15.75" customHeight="1">
      <c r="A98" s="7"/>
      <c r="B98" s="7"/>
    </row>
    <row r="99" ht="15.75" customHeight="1">
      <c r="A99" s="7"/>
      <c r="B99" s="7"/>
    </row>
    <row r="100" ht="15.75" customHeight="1">
      <c r="A100" s="7"/>
      <c r="B100" s="7"/>
    </row>
    <row r="101" ht="15.75" customHeight="1">
      <c r="A101" s="7"/>
      <c r="B101" s="7"/>
    </row>
    <row r="102" ht="15.75" customHeight="1">
      <c r="A102" s="7"/>
      <c r="B102" s="7"/>
    </row>
    <row r="103" ht="15.75" customHeight="1">
      <c r="A103" s="7"/>
      <c r="B103" s="7"/>
    </row>
    <row r="104" ht="15.75" customHeight="1">
      <c r="A104" s="7"/>
      <c r="B104" s="7"/>
    </row>
    <row r="105" ht="15.75" customHeight="1">
      <c r="A105" s="7"/>
      <c r="B105" s="7"/>
    </row>
    <row r="106" ht="15.75" customHeight="1">
      <c r="A106" s="7"/>
      <c r="B106" s="7"/>
    </row>
    <row r="107" ht="15.75" customHeight="1">
      <c r="A107" s="7"/>
      <c r="B107" s="7"/>
    </row>
    <row r="108" ht="15.75" customHeight="1">
      <c r="A108" s="7"/>
      <c r="B108" s="7"/>
    </row>
    <row r="109" ht="15.75" customHeight="1">
      <c r="A109" s="7"/>
      <c r="B109" s="7"/>
    </row>
    <row r="110" ht="15.75" customHeight="1">
      <c r="A110" s="7"/>
      <c r="B110" s="7"/>
    </row>
    <row r="111" ht="15.75" customHeight="1">
      <c r="A111" s="7"/>
      <c r="B111" s="7"/>
    </row>
    <row r="112" ht="15.75" customHeight="1">
      <c r="A112" s="7"/>
      <c r="B112" s="7"/>
    </row>
    <row r="113" ht="15.75" customHeight="1">
      <c r="A113" s="7"/>
      <c r="B113" s="7"/>
    </row>
    <row r="114" ht="15.75" customHeight="1">
      <c r="A114" s="7"/>
      <c r="B114" s="7"/>
    </row>
    <row r="115" ht="15.75" customHeight="1">
      <c r="A115" s="7"/>
      <c r="B115" s="7"/>
    </row>
    <row r="116" ht="15.75" customHeight="1">
      <c r="A116" s="7"/>
      <c r="B116" s="7"/>
    </row>
    <row r="117" ht="15.75" customHeight="1">
      <c r="A117" s="7"/>
      <c r="B117" s="7"/>
    </row>
    <row r="118" ht="15.75" customHeight="1">
      <c r="A118" s="7"/>
      <c r="B118" s="7"/>
    </row>
    <row r="119" ht="15.75" customHeight="1">
      <c r="A119" s="7"/>
      <c r="B119" s="7"/>
    </row>
    <row r="120" ht="15.75" customHeight="1">
      <c r="A120" s="7"/>
      <c r="B120" s="7"/>
    </row>
    <row r="121" ht="15.75" customHeight="1">
      <c r="A121" s="7"/>
      <c r="B121" s="7"/>
    </row>
    <row r="122" ht="15.75" customHeight="1">
      <c r="A122" s="7"/>
      <c r="B122" s="7"/>
    </row>
    <row r="123" ht="15.75" customHeight="1">
      <c r="A123" s="7"/>
      <c r="B123" s="7"/>
    </row>
    <row r="124" ht="15.75" customHeight="1">
      <c r="A124" s="7"/>
      <c r="B124" s="7"/>
    </row>
    <row r="125" ht="15.75" customHeight="1">
      <c r="A125" s="7"/>
      <c r="B125" s="7"/>
    </row>
    <row r="126" ht="15.75" customHeight="1">
      <c r="A126" s="7"/>
      <c r="B126" s="7"/>
    </row>
    <row r="127" ht="15.75" customHeight="1">
      <c r="A127" s="7"/>
      <c r="B127" s="7"/>
    </row>
    <row r="128" ht="15.75" customHeight="1">
      <c r="A128" s="7"/>
      <c r="B128" s="7"/>
    </row>
    <row r="129" ht="15.75" customHeight="1">
      <c r="A129" s="7"/>
      <c r="B129" s="7"/>
    </row>
    <row r="130" ht="15.75" customHeight="1">
      <c r="A130" s="7"/>
      <c r="B130" s="7"/>
    </row>
    <row r="131" ht="15.75" customHeight="1">
      <c r="A131" s="7"/>
      <c r="B131" s="7"/>
    </row>
    <row r="132" ht="15.75" customHeight="1">
      <c r="A132" s="7"/>
      <c r="B132" s="7"/>
    </row>
    <row r="133" ht="15.75" customHeight="1">
      <c r="A133" s="7"/>
      <c r="B133" s="7"/>
    </row>
    <row r="134" ht="15.75" customHeight="1">
      <c r="A134" s="7"/>
      <c r="B134" s="7"/>
    </row>
    <row r="135" ht="15.75" customHeight="1">
      <c r="A135" s="7"/>
      <c r="B135" s="7"/>
    </row>
    <row r="136" ht="15.75" customHeight="1">
      <c r="A136" s="7"/>
      <c r="B136" s="7"/>
    </row>
    <row r="137" ht="15.75" customHeight="1">
      <c r="A137" s="7"/>
      <c r="B137" s="7"/>
    </row>
    <row r="138" ht="15.75" customHeight="1">
      <c r="A138" s="7"/>
      <c r="B138" s="7"/>
    </row>
    <row r="139" ht="15.75" customHeight="1">
      <c r="A139" s="7"/>
      <c r="B139" s="7"/>
    </row>
    <row r="140" ht="15.75" customHeight="1">
      <c r="A140" s="7"/>
      <c r="B140" s="7"/>
    </row>
    <row r="141" ht="15.75" customHeight="1">
      <c r="A141" s="7"/>
      <c r="B141" s="7"/>
    </row>
    <row r="142" ht="15.75" customHeight="1">
      <c r="A142" s="7"/>
      <c r="B142" s="7"/>
    </row>
    <row r="143" ht="15.75" customHeight="1">
      <c r="A143" s="7"/>
      <c r="B143" s="7"/>
    </row>
    <row r="144" ht="15.75" customHeight="1">
      <c r="A144" s="7"/>
      <c r="B144" s="7"/>
    </row>
    <row r="145" ht="15.75" customHeight="1">
      <c r="A145" s="7"/>
      <c r="B145" s="7"/>
    </row>
    <row r="146" ht="15.75" customHeight="1">
      <c r="A146" s="7"/>
      <c r="B146" s="7"/>
    </row>
    <row r="147" ht="15.75" customHeight="1">
      <c r="A147" s="7"/>
      <c r="B147" s="7"/>
    </row>
    <row r="148" ht="15.75" customHeight="1">
      <c r="A148" s="7"/>
      <c r="B148" s="7"/>
    </row>
    <row r="149" ht="15.75" customHeight="1">
      <c r="A149" s="7"/>
      <c r="B149" s="7"/>
    </row>
    <row r="150" ht="15.75" customHeight="1">
      <c r="A150" s="7"/>
      <c r="B150" s="7"/>
    </row>
    <row r="151" ht="15.75" customHeight="1">
      <c r="A151" s="7"/>
      <c r="B151" s="7"/>
    </row>
    <row r="152" ht="15.75" customHeight="1">
      <c r="A152" s="7"/>
      <c r="B152" s="7"/>
    </row>
    <row r="153" ht="15.75" customHeight="1">
      <c r="A153" s="7"/>
      <c r="B153" s="7"/>
    </row>
    <row r="154" ht="15.75" customHeight="1">
      <c r="A154" s="7"/>
      <c r="B154" s="7"/>
    </row>
    <row r="155" ht="15.75" customHeight="1">
      <c r="A155" s="7"/>
      <c r="B155" s="7"/>
    </row>
    <row r="156" ht="15.75" customHeight="1">
      <c r="A156" s="7"/>
      <c r="B156" s="7"/>
    </row>
    <row r="157" ht="15.75" customHeight="1">
      <c r="A157" s="7"/>
      <c r="B157" s="7"/>
    </row>
    <row r="158" ht="15.75" customHeight="1">
      <c r="A158" s="7"/>
      <c r="B158" s="7"/>
    </row>
    <row r="159" ht="15.75" customHeight="1">
      <c r="A159" s="7"/>
      <c r="B159" s="7"/>
    </row>
    <row r="160" ht="15.75" customHeight="1">
      <c r="A160" s="7"/>
      <c r="B160" s="7"/>
    </row>
    <row r="161" ht="15.75" customHeight="1">
      <c r="A161" s="7"/>
      <c r="B161" s="7"/>
    </row>
    <row r="162" ht="15.75" customHeight="1">
      <c r="A162" s="7"/>
      <c r="B162" s="7"/>
    </row>
    <row r="163" ht="15.75" customHeight="1">
      <c r="A163" s="7"/>
      <c r="B163" s="7"/>
    </row>
    <row r="164" ht="15.75" customHeight="1">
      <c r="A164" s="7"/>
      <c r="B164" s="7"/>
    </row>
    <row r="165" ht="15.75" customHeight="1">
      <c r="A165" s="7"/>
      <c r="B165" s="7"/>
    </row>
    <row r="166" ht="15.75" customHeight="1">
      <c r="A166" s="7"/>
      <c r="B166" s="7"/>
    </row>
    <row r="167" ht="15.75" customHeight="1">
      <c r="A167" s="7"/>
      <c r="B167" s="7"/>
    </row>
    <row r="168" ht="15.75" customHeight="1">
      <c r="A168" s="7"/>
      <c r="B168" s="7"/>
    </row>
    <row r="169" ht="15.75" customHeight="1">
      <c r="A169" s="7"/>
      <c r="B169" s="7"/>
    </row>
    <row r="170" ht="15.75" customHeight="1">
      <c r="A170" s="7"/>
      <c r="B170" s="7"/>
    </row>
    <row r="171" ht="15.75" customHeight="1">
      <c r="A171" s="7"/>
      <c r="B171" s="7"/>
    </row>
    <row r="172" ht="15.75" customHeight="1">
      <c r="A172" s="7"/>
      <c r="B172" s="7"/>
    </row>
    <row r="173" ht="15.75" customHeight="1">
      <c r="A173" s="7"/>
      <c r="B173" s="7"/>
    </row>
    <row r="174" ht="15.75" customHeight="1">
      <c r="A174" s="7"/>
      <c r="B174" s="7"/>
    </row>
    <row r="175" ht="15.75" customHeight="1">
      <c r="A175" s="7"/>
      <c r="B175" s="7"/>
    </row>
    <row r="176" ht="15.75" customHeight="1">
      <c r="A176" s="7"/>
      <c r="B176" s="7"/>
    </row>
    <row r="177" ht="15.75" customHeight="1">
      <c r="A177" s="7"/>
      <c r="B177" s="7"/>
    </row>
    <row r="178" ht="15.75" customHeight="1">
      <c r="A178" s="7"/>
      <c r="B178" s="7"/>
    </row>
    <row r="179" ht="15.75" customHeight="1">
      <c r="A179" s="7"/>
      <c r="B179" s="7"/>
    </row>
    <row r="180" ht="15.75" customHeight="1">
      <c r="A180" s="7"/>
      <c r="B180" s="7"/>
    </row>
    <row r="181" ht="15.75" customHeight="1">
      <c r="A181" s="7"/>
      <c r="B181" s="7"/>
    </row>
    <row r="182" ht="15.75" customHeight="1">
      <c r="A182" s="7"/>
      <c r="B182" s="7"/>
    </row>
    <row r="183" ht="15.75" customHeight="1">
      <c r="A183" s="7"/>
      <c r="B183" s="7"/>
    </row>
    <row r="184" ht="15.75" customHeight="1">
      <c r="A184" s="7"/>
      <c r="B184" s="7"/>
    </row>
    <row r="185" ht="15.75" customHeight="1">
      <c r="A185" s="7"/>
      <c r="B185" s="7"/>
    </row>
    <row r="186" ht="15.75" customHeight="1">
      <c r="A186" s="7"/>
      <c r="B186" s="7"/>
    </row>
    <row r="187" ht="15.75" customHeight="1">
      <c r="A187" s="7"/>
      <c r="B187" s="7"/>
    </row>
    <row r="188" ht="15.75" customHeight="1">
      <c r="A188" s="7"/>
      <c r="B188" s="7"/>
    </row>
    <row r="189" ht="15.75" customHeight="1">
      <c r="A189" s="7"/>
      <c r="B189" s="7"/>
    </row>
    <row r="190" ht="15.75" customHeight="1">
      <c r="A190" s="7"/>
      <c r="B190" s="7"/>
    </row>
    <row r="191" ht="15.75" customHeight="1">
      <c r="A191" s="7"/>
      <c r="B191" s="7"/>
    </row>
    <row r="192" ht="15.75" customHeight="1">
      <c r="A192" s="7"/>
      <c r="B192" s="7"/>
    </row>
    <row r="193" ht="15.75" customHeight="1">
      <c r="A193" s="7"/>
      <c r="B193" s="7"/>
    </row>
    <row r="194" ht="15.75" customHeight="1">
      <c r="A194" s="7"/>
      <c r="B194" s="7"/>
    </row>
    <row r="195" ht="15.75" customHeight="1">
      <c r="A195" s="7"/>
      <c r="B195" s="7"/>
    </row>
    <row r="196" ht="15.75" customHeight="1">
      <c r="A196" s="7"/>
      <c r="B196" s="7"/>
    </row>
    <row r="197" ht="15.75" customHeight="1">
      <c r="A197" s="7"/>
      <c r="B197" s="7"/>
    </row>
    <row r="198" ht="15.75" customHeight="1">
      <c r="A198" s="7"/>
      <c r="B198" s="7"/>
    </row>
    <row r="199" ht="15.75" customHeight="1">
      <c r="A199" s="7"/>
      <c r="B199" s="7"/>
    </row>
    <row r="200" ht="15.75" customHeight="1">
      <c r="A200" s="7"/>
      <c r="B200" s="7"/>
    </row>
    <row r="201" ht="15.75" customHeight="1">
      <c r="A201" s="7"/>
      <c r="B201" s="7"/>
    </row>
    <row r="202" ht="15.75" customHeight="1">
      <c r="A202" s="7"/>
      <c r="B202" s="7"/>
    </row>
    <row r="203" ht="15.75" customHeight="1">
      <c r="A203" s="7"/>
      <c r="B203" s="7"/>
    </row>
    <row r="204" ht="15.75" customHeight="1">
      <c r="A204" s="7"/>
      <c r="B204" s="7"/>
    </row>
    <row r="205" ht="15.75" customHeight="1">
      <c r="A205" s="7"/>
      <c r="B205" s="7"/>
    </row>
    <row r="206" ht="15.75" customHeight="1">
      <c r="A206" s="7"/>
      <c r="B206" s="7"/>
    </row>
    <row r="207" ht="15.75" customHeight="1">
      <c r="A207" s="7"/>
      <c r="B207" s="7"/>
    </row>
    <row r="208" ht="15.75" customHeight="1">
      <c r="A208" s="7"/>
      <c r="B208" s="7"/>
    </row>
    <row r="209" ht="15.75" customHeight="1">
      <c r="A209" s="7"/>
      <c r="B209" s="7"/>
    </row>
    <row r="210" ht="15.75" customHeight="1">
      <c r="A210" s="7"/>
      <c r="B210" s="7"/>
    </row>
    <row r="211" ht="15.75" customHeight="1">
      <c r="A211" s="7"/>
      <c r="B211" s="7"/>
    </row>
    <row r="212" ht="15.75" customHeight="1">
      <c r="A212" s="7"/>
      <c r="B212" s="7"/>
    </row>
    <row r="213" ht="15.75" customHeight="1">
      <c r="A213" s="7"/>
      <c r="B213" s="7"/>
    </row>
    <row r="214" ht="15.75" customHeight="1">
      <c r="A214" s="7"/>
      <c r="B214" s="7"/>
    </row>
    <row r="215" ht="15.75" customHeight="1">
      <c r="A215" s="7"/>
      <c r="B215" s="7"/>
    </row>
    <row r="216" ht="15.75" customHeight="1">
      <c r="A216" s="7"/>
      <c r="B216" s="7"/>
    </row>
    <row r="217" ht="15.75" customHeight="1">
      <c r="A217" s="7"/>
      <c r="B217" s="7"/>
    </row>
    <row r="218" ht="15.75" customHeight="1">
      <c r="A218" s="7"/>
      <c r="B218" s="7"/>
    </row>
    <row r="219" ht="15.75" customHeight="1">
      <c r="A219" s="7"/>
      <c r="B219" s="7"/>
    </row>
    <row r="220" ht="15.75" customHeight="1">
      <c r="A220" s="7"/>
      <c r="B220" s="7"/>
    </row>
    <row r="221" ht="15.75" customHeight="1">
      <c r="A221" s="7"/>
      <c r="B221" s="7"/>
    </row>
    <row r="222" ht="15.75" customHeight="1">
      <c r="A222" s="7"/>
      <c r="B222" s="7"/>
    </row>
    <row r="223" ht="15.75" customHeight="1">
      <c r="A223" s="7"/>
      <c r="B223" s="7"/>
    </row>
    <row r="224" ht="15.75" customHeight="1">
      <c r="A224" s="7"/>
      <c r="B224" s="7"/>
    </row>
    <row r="225" ht="15.75" customHeight="1">
      <c r="A225" s="7"/>
      <c r="B225" s="7"/>
    </row>
    <row r="226" ht="15.75" customHeight="1">
      <c r="A226" s="7"/>
      <c r="B226" s="7"/>
    </row>
    <row r="227" ht="15.75" customHeight="1">
      <c r="A227" s="7"/>
      <c r="B227" s="7"/>
    </row>
    <row r="228" ht="15.75" customHeight="1">
      <c r="A228" s="7"/>
      <c r="B228" s="7"/>
    </row>
    <row r="229" ht="15.75" customHeight="1">
      <c r="A229" s="7"/>
      <c r="B229" s="7"/>
    </row>
    <row r="230" ht="15.75" customHeight="1">
      <c r="A230" s="7"/>
      <c r="B230" s="7"/>
    </row>
    <row r="231" ht="15.75" customHeight="1">
      <c r="A231" s="7"/>
      <c r="B231" s="7"/>
    </row>
    <row r="232" ht="15.75" customHeight="1">
      <c r="A232" s="7"/>
      <c r="B232" s="7"/>
    </row>
    <row r="233" ht="15.75" customHeight="1">
      <c r="A233" s="7"/>
      <c r="B233" s="7"/>
    </row>
    <row r="234" ht="15.75" customHeight="1">
      <c r="A234" s="7"/>
      <c r="B234" s="7"/>
    </row>
    <row r="235" ht="15.75" customHeight="1">
      <c r="A235" s="7"/>
      <c r="B235" s="7"/>
    </row>
    <row r="236" ht="15.75" customHeight="1">
      <c r="A236" s="7"/>
      <c r="B236" s="7"/>
    </row>
    <row r="237" ht="15.75" customHeight="1">
      <c r="A237" s="7"/>
      <c r="B237" s="7"/>
    </row>
    <row r="238" ht="15.75" customHeight="1">
      <c r="A238" s="7"/>
      <c r="B238" s="7"/>
    </row>
    <row r="239" ht="15.75" customHeight="1">
      <c r="A239" s="7"/>
      <c r="B239" s="7"/>
    </row>
    <row r="240" ht="15.75" customHeight="1">
      <c r="A240" s="7"/>
      <c r="B240" s="7"/>
    </row>
    <row r="241" ht="15.75" customHeight="1">
      <c r="A241" s="7"/>
      <c r="B241" s="7"/>
    </row>
    <row r="242" ht="15.75" customHeight="1">
      <c r="A242" s="7"/>
      <c r="B242" s="7"/>
    </row>
    <row r="243" ht="15.75" customHeight="1">
      <c r="A243" s="7"/>
      <c r="B243" s="7"/>
    </row>
    <row r="244" ht="15.75" customHeight="1">
      <c r="A244" s="7"/>
      <c r="B244" s="7"/>
    </row>
    <row r="245" ht="15.75" customHeight="1">
      <c r="A245" s="7"/>
      <c r="B245" s="7"/>
    </row>
    <row r="246" ht="15.75" customHeight="1">
      <c r="A246" s="7"/>
      <c r="B246" s="7"/>
    </row>
    <row r="247" ht="15.75" customHeight="1">
      <c r="A247" s="7"/>
      <c r="B247" s="7"/>
    </row>
    <row r="248" ht="15.75" customHeight="1">
      <c r="A248" s="7"/>
      <c r="B248" s="7"/>
    </row>
    <row r="249" ht="15.75" customHeight="1">
      <c r="A249" s="7"/>
      <c r="B249" s="7"/>
    </row>
    <row r="250" ht="15.75" customHeight="1">
      <c r="A250" s="7"/>
      <c r="B250" s="7"/>
    </row>
    <row r="251" ht="15.75" customHeight="1">
      <c r="A251" s="7"/>
      <c r="B251" s="7"/>
    </row>
    <row r="252" ht="15.75" customHeight="1">
      <c r="A252" s="7"/>
      <c r="B252" s="7"/>
    </row>
    <row r="253" ht="15.75" customHeight="1">
      <c r="A253" s="7"/>
      <c r="B253" s="7"/>
    </row>
    <row r="254" ht="15.75" customHeight="1">
      <c r="A254" s="7"/>
      <c r="B254" s="7"/>
    </row>
    <row r="255" ht="15.75" customHeight="1">
      <c r="A255" s="7"/>
      <c r="B255" s="7"/>
    </row>
    <row r="256" ht="15.75" customHeight="1">
      <c r="A256" s="7"/>
      <c r="B256" s="7"/>
    </row>
    <row r="257" ht="15.75" customHeight="1">
      <c r="A257" s="7"/>
      <c r="B257" s="7"/>
    </row>
    <row r="258" ht="15.75" customHeight="1">
      <c r="A258" s="7"/>
      <c r="B258" s="7"/>
    </row>
    <row r="259" ht="15.75" customHeight="1">
      <c r="A259" s="7"/>
      <c r="B259" s="7"/>
    </row>
    <row r="260" ht="15.75" customHeight="1">
      <c r="A260" s="7"/>
      <c r="B260" s="7"/>
    </row>
    <row r="261" ht="15.75" customHeight="1">
      <c r="A261" s="7"/>
      <c r="B261" s="7"/>
    </row>
    <row r="262" ht="15.75" customHeight="1">
      <c r="A262" s="7"/>
      <c r="B262" s="7"/>
    </row>
    <row r="263" ht="15.75" customHeight="1">
      <c r="A263" s="7"/>
      <c r="B263" s="7"/>
    </row>
    <row r="264" ht="15.75" customHeight="1">
      <c r="A264" s="7"/>
      <c r="B264" s="7"/>
    </row>
    <row r="265" ht="15.75" customHeight="1">
      <c r="A265" s="7"/>
      <c r="B265" s="7"/>
    </row>
    <row r="266" ht="15.75" customHeight="1">
      <c r="A266" s="7"/>
      <c r="B266" s="7"/>
    </row>
    <row r="267" ht="15.75" customHeight="1">
      <c r="A267" s="7"/>
      <c r="B267" s="7"/>
    </row>
    <row r="268" ht="15.75" customHeight="1">
      <c r="A268" s="7"/>
      <c r="B268" s="7"/>
    </row>
    <row r="269" ht="15.75" customHeight="1">
      <c r="A269" s="7"/>
      <c r="B269" s="7"/>
    </row>
    <row r="270" ht="15.75" customHeight="1">
      <c r="A270" s="7"/>
      <c r="B270" s="7"/>
    </row>
    <row r="271" ht="15.75" customHeight="1">
      <c r="A271" s="7"/>
      <c r="B271" s="7"/>
    </row>
    <row r="272" ht="15.75" customHeight="1">
      <c r="A272" s="7"/>
      <c r="B272" s="7"/>
    </row>
    <row r="273" ht="15.75" customHeight="1">
      <c r="A273" s="7"/>
      <c r="B273" s="7"/>
    </row>
    <row r="274" ht="15.75" customHeight="1">
      <c r="A274" s="7"/>
      <c r="B274" s="7"/>
    </row>
    <row r="275" ht="15.75" customHeight="1">
      <c r="A275" s="7"/>
      <c r="B275" s="7"/>
    </row>
    <row r="276" ht="15.75" customHeight="1">
      <c r="A276" s="7"/>
      <c r="B276" s="7"/>
    </row>
    <row r="277" ht="15.75" customHeight="1">
      <c r="A277" s="7"/>
      <c r="B277" s="7"/>
    </row>
    <row r="278" ht="15.75" customHeight="1">
      <c r="A278" s="7"/>
      <c r="B278" s="7"/>
    </row>
    <row r="279" ht="15.75" customHeight="1">
      <c r="A279" s="7"/>
      <c r="B279" s="7"/>
    </row>
    <row r="280" ht="15.75" customHeight="1">
      <c r="A280" s="7"/>
      <c r="B280" s="7"/>
    </row>
    <row r="281" ht="15.75" customHeight="1">
      <c r="A281" s="7"/>
      <c r="B281" s="7"/>
    </row>
    <row r="282" ht="15.75" customHeight="1">
      <c r="A282" s="7"/>
      <c r="B282" s="7"/>
    </row>
    <row r="283" ht="15.75" customHeight="1">
      <c r="A283" s="7"/>
      <c r="B283" s="7"/>
    </row>
    <row r="284" ht="15.75" customHeight="1">
      <c r="A284" s="7"/>
      <c r="B284" s="7"/>
    </row>
    <row r="285" ht="15.75" customHeight="1">
      <c r="A285" s="7"/>
      <c r="B285" s="7"/>
    </row>
    <row r="286" ht="15.75" customHeight="1">
      <c r="A286" s="7"/>
      <c r="B286" s="7"/>
    </row>
    <row r="287" ht="15.75" customHeight="1">
      <c r="A287" s="7"/>
      <c r="B287" s="7"/>
    </row>
    <row r="288" ht="15.75" customHeight="1">
      <c r="A288" s="7"/>
      <c r="B288" s="7"/>
    </row>
    <row r="289" ht="15.75" customHeight="1">
      <c r="A289" s="7"/>
      <c r="B289" s="7"/>
    </row>
    <row r="290" ht="15.75" customHeight="1">
      <c r="A290" s="7"/>
      <c r="B290" s="7"/>
    </row>
    <row r="291" ht="15.75" customHeight="1">
      <c r="A291" s="7"/>
      <c r="B291" s="7"/>
    </row>
    <row r="292" ht="15.75" customHeight="1">
      <c r="A292" s="7"/>
      <c r="B292" s="7"/>
    </row>
    <row r="293" ht="15.75" customHeight="1">
      <c r="A293" s="7"/>
      <c r="B293" s="7"/>
    </row>
    <row r="294" ht="15.75" customHeight="1">
      <c r="A294" s="7"/>
      <c r="B294" s="7"/>
    </row>
    <row r="295" ht="15.75" customHeight="1">
      <c r="A295" s="7"/>
      <c r="B295" s="7"/>
    </row>
    <row r="296" ht="15.75" customHeight="1">
      <c r="A296" s="7"/>
      <c r="B296" s="7"/>
    </row>
    <row r="297" ht="15.75" customHeight="1">
      <c r="A297" s="7"/>
      <c r="B297" s="7"/>
    </row>
    <row r="298" ht="15.75" customHeight="1">
      <c r="A298" s="7"/>
      <c r="B298" s="7"/>
    </row>
    <row r="299" ht="15.75" customHeight="1">
      <c r="A299" s="7"/>
      <c r="B299" s="7"/>
    </row>
    <row r="300" ht="15.75" customHeight="1">
      <c r="A300" s="7"/>
      <c r="B300" s="7"/>
    </row>
    <row r="301" ht="15.75" customHeight="1">
      <c r="A301" s="7"/>
      <c r="B301" s="7"/>
    </row>
    <row r="302" ht="15.75" customHeight="1">
      <c r="A302" s="7"/>
      <c r="B302" s="7"/>
    </row>
    <row r="303" ht="15.75" customHeight="1">
      <c r="A303" s="7"/>
      <c r="B303" s="7"/>
    </row>
    <row r="304" ht="15.75" customHeight="1">
      <c r="A304" s="7"/>
      <c r="B304" s="7"/>
    </row>
    <row r="305" ht="15.75" customHeight="1">
      <c r="A305" s="7"/>
      <c r="B305" s="7"/>
    </row>
    <row r="306" ht="15.75" customHeight="1">
      <c r="A306" s="7"/>
      <c r="B306" s="7"/>
    </row>
    <row r="307" ht="15.75" customHeight="1">
      <c r="A307" s="7"/>
      <c r="B307" s="7"/>
    </row>
    <row r="308" ht="15.75" customHeight="1">
      <c r="A308" s="7"/>
      <c r="B308" s="7"/>
    </row>
    <row r="309" ht="15.75" customHeight="1">
      <c r="A309" s="7"/>
      <c r="B309" s="7"/>
    </row>
    <row r="310" ht="15.75" customHeight="1">
      <c r="A310" s="7"/>
      <c r="B310" s="7"/>
    </row>
    <row r="311" ht="15.75" customHeight="1">
      <c r="A311" s="7"/>
      <c r="B311" s="7"/>
    </row>
    <row r="312" ht="15.75" customHeight="1">
      <c r="A312" s="7"/>
      <c r="B312" s="7"/>
    </row>
    <row r="313" ht="15.75" customHeight="1">
      <c r="A313" s="7"/>
      <c r="B313" s="7"/>
    </row>
    <row r="314" ht="15.75" customHeight="1">
      <c r="A314" s="7"/>
      <c r="B314" s="7"/>
    </row>
    <row r="315" ht="15.75" customHeight="1">
      <c r="A315" s="7"/>
      <c r="B315" s="7"/>
    </row>
    <row r="316" ht="15.75" customHeight="1">
      <c r="A316" s="7"/>
      <c r="B316" s="7"/>
    </row>
    <row r="317" ht="15.75" customHeight="1">
      <c r="A317" s="7"/>
      <c r="B317" s="7"/>
    </row>
    <row r="318" ht="15.75" customHeight="1">
      <c r="A318" s="7"/>
      <c r="B318" s="7"/>
    </row>
    <row r="319" ht="15.75" customHeight="1">
      <c r="A319" s="7"/>
      <c r="B319" s="7"/>
    </row>
    <row r="320" ht="15.75" customHeight="1">
      <c r="A320" s="7"/>
      <c r="B320" s="7"/>
    </row>
    <row r="321" ht="15.75" customHeight="1">
      <c r="A321" s="7"/>
      <c r="B321" s="7"/>
    </row>
    <row r="322" ht="15.75" customHeight="1">
      <c r="A322" s="7"/>
      <c r="B322" s="7"/>
    </row>
    <row r="323" ht="15.75" customHeight="1">
      <c r="A323" s="7"/>
      <c r="B323" s="7"/>
    </row>
    <row r="324" ht="15.75" customHeight="1">
      <c r="A324" s="7"/>
      <c r="B324" s="7"/>
    </row>
    <row r="325" ht="15.75" customHeight="1">
      <c r="A325" s="7"/>
      <c r="B325" s="7"/>
    </row>
    <row r="326" ht="15.75" customHeight="1">
      <c r="A326" s="7"/>
      <c r="B326" s="7"/>
    </row>
    <row r="327" ht="15.75" customHeight="1">
      <c r="A327" s="7"/>
      <c r="B327" s="7"/>
    </row>
    <row r="328" ht="15.75" customHeight="1">
      <c r="A328" s="7"/>
      <c r="B328" s="7"/>
    </row>
    <row r="329" ht="15.75" customHeight="1">
      <c r="A329" s="7"/>
      <c r="B329" s="7"/>
    </row>
    <row r="330" ht="15.75" customHeight="1">
      <c r="A330" s="7"/>
      <c r="B330" s="7"/>
    </row>
    <row r="331" ht="15.75" customHeight="1">
      <c r="A331" s="7"/>
      <c r="B331" s="7"/>
    </row>
    <row r="332" ht="15.75" customHeight="1">
      <c r="A332" s="7"/>
      <c r="B332" s="7"/>
    </row>
    <row r="333" ht="15.75" customHeight="1">
      <c r="A333" s="7"/>
      <c r="B333" s="7"/>
    </row>
    <row r="334" ht="15.75" customHeight="1">
      <c r="A334" s="7"/>
      <c r="B334" s="7"/>
    </row>
    <row r="335" ht="15.75" customHeight="1">
      <c r="A335" s="7"/>
      <c r="B335" s="7"/>
    </row>
    <row r="336" ht="15.75" customHeight="1">
      <c r="A336" s="7"/>
      <c r="B336" s="7"/>
    </row>
    <row r="337" ht="15.75" customHeight="1">
      <c r="A337" s="7"/>
      <c r="B337" s="7"/>
    </row>
    <row r="338" ht="15.75" customHeight="1">
      <c r="A338" s="7"/>
      <c r="B338" s="7"/>
    </row>
    <row r="339" ht="15.75" customHeight="1">
      <c r="A339" s="7"/>
      <c r="B339" s="7"/>
    </row>
    <row r="340" ht="15.75" customHeight="1">
      <c r="A340" s="7"/>
      <c r="B340" s="7"/>
    </row>
    <row r="341" ht="15.75" customHeight="1">
      <c r="A341" s="7"/>
      <c r="B341" s="7"/>
    </row>
    <row r="342" ht="15.75" customHeight="1">
      <c r="A342" s="7"/>
      <c r="B342" s="7"/>
    </row>
    <row r="343" ht="15.75" customHeight="1">
      <c r="A343" s="7"/>
      <c r="B343" s="7"/>
    </row>
    <row r="344" ht="15.75" customHeight="1">
      <c r="A344" s="7"/>
      <c r="B344" s="7"/>
    </row>
    <row r="345" ht="15.75" customHeight="1">
      <c r="A345" s="7"/>
      <c r="B345" s="7"/>
    </row>
    <row r="346" ht="15.75" customHeight="1">
      <c r="A346" s="7"/>
      <c r="B346" s="7"/>
    </row>
    <row r="347" ht="15.75" customHeight="1">
      <c r="A347" s="7"/>
      <c r="B347" s="7"/>
    </row>
    <row r="348" ht="15.75" customHeight="1">
      <c r="A348" s="7"/>
      <c r="B348" s="7"/>
    </row>
    <row r="349" ht="15.75" customHeight="1">
      <c r="A349" s="7"/>
      <c r="B349" s="7"/>
    </row>
    <row r="350" ht="15.75" customHeight="1">
      <c r="A350" s="7"/>
      <c r="B350" s="7"/>
    </row>
    <row r="351" ht="15.75" customHeight="1">
      <c r="A351" s="7"/>
      <c r="B351" s="7"/>
    </row>
    <row r="352" ht="15.75" customHeight="1">
      <c r="A352" s="7"/>
      <c r="B352" s="7"/>
    </row>
    <row r="353" ht="15.75" customHeight="1">
      <c r="A353" s="7"/>
      <c r="B353" s="7"/>
    </row>
    <row r="354" ht="15.75" customHeight="1">
      <c r="A354" s="7"/>
      <c r="B354" s="7"/>
    </row>
    <row r="355" ht="15.75" customHeight="1">
      <c r="A355" s="7"/>
      <c r="B355" s="7"/>
    </row>
    <row r="356" ht="15.75" customHeight="1">
      <c r="A356" s="7"/>
      <c r="B356" s="7"/>
    </row>
    <row r="357" ht="15.75" customHeight="1">
      <c r="A357" s="7"/>
      <c r="B357" s="7"/>
    </row>
    <row r="358" ht="15.75" customHeight="1">
      <c r="A358" s="7"/>
      <c r="B358" s="7"/>
    </row>
    <row r="359" ht="15.75" customHeight="1">
      <c r="A359" s="7"/>
      <c r="B359" s="7"/>
    </row>
    <row r="360" ht="15.75" customHeight="1">
      <c r="A360" s="7"/>
      <c r="B360" s="7"/>
    </row>
    <row r="361" ht="15.75" customHeight="1">
      <c r="A361" s="7"/>
      <c r="B361" s="7"/>
    </row>
    <row r="362" ht="15.75" customHeight="1">
      <c r="A362" s="7"/>
      <c r="B362" s="7"/>
    </row>
    <row r="363" ht="15.75" customHeight="1">
      <c r="A363" s="7"/>
      <c r="B363" s="7"/>
    </row>
    <row r="364" ht="15.75" customHeight="1">
      <c r="A364" s="7"/>
      <c r="B364" s="7"/>
    </row>
    <row r="365" ht="15.75" customHeight="1">
      <c r="A365" s="7"/>
      <c r="B365" s="7"/>
    </row>
    <row r="366" ht="15.75" customHeight="1">
      <c r="A366" s="7"/>
      <c r="B366" s="7"/>
    </row>
    <row r="367" ht="15.75" customHeight="1">
      <c r="A367" s="7"/>
      <c r="B367" s="7"/>
    </row>
    <row r="368" ht="15.75" customHeight="1">
      <c r="A368" s="7"/>
      <c r="B368" s="7"/>
    </row>
    <row r="369" ht="15.75" customHeight="1">
      <c r="A369" s="7"/>
      <c r="B369" s="7"/>
    </row>
    <row r="370" ht="15.75" customHeight="1">
      <c r="A370" s="7"/>
      <c r="B370" s="7"/>
    </row>
    <row r="371" ht="15.75" customHeight="1">
      <c r="A371" s="7"/>
      <c r="B371" s="7"/>
    </row>
    <row r="372" ht="15.75" customHeight="1">
      <c r="A372" s="7"/>
      <c r="B372" s="7"/>
    </row>
    <row r="373" ht="15.75" customHeight="1">
      <c r="A373" s="7"/>
      <c r="B373" s="7"/>
    </row>
    <row r="374" ht="15.75" customHeight="1">
      <c r="A374" s="7"/>
      <c r="B374" s="7"/>
    </row>
    <row r="375" ht="15.75" customHeight="1">
      <c r="A375" s="7"/>
      <c r="B375" s="7"/>
    </row>
    <row r="376" ht="15.75" customHeight="1">
      <c r="A376" s="7"/>
      <c r="B376" s="7"/>
    </row>
    <row r="377" ht="15.75" customHeight="1">
      <c r="A377" s="7"/>
      <c r="B377" s="7"/>
    </row>
    <row r="378" ht="15.75" customHeight="1">
      <c r="A378" s="7"/>
      <c r="B378" s="7"/>
    </row>
    <row r="379" ht="15.75" customHeight="1">
      <c r="A379" s="7"/>
      <c r="B379" s="7"/>
    </row>
    <row r="380" ht="15.75" customHeight="1">
      <c r="A380" s="7"/>
      <c r="B380" s="7"/>
    </row>
    <row r="381" ht="15.75" customHeight="1">
      <c r="A381" s="7"/>
      <c r="B381" s="7"/>
    </row>
    <row r="382" ht="15.75" customHeight="1">
      <c r="A382" s="7"/>
      <c r="B382" s="7"/>
    </row>
    <row r="383" ht="15.75" customHeight="1">
      <c r="A383" s="7"/>
      <c r="B383" s="7"/>
    </row>
    <row r="384" ht="15.75" customHeight="1">
      <c r="A384" s="7"/>
      <c r="B384" s="7"/>
    </row>
    <row r="385" ht="15.75" customHeight="1">
      <c r="A385" s="7"/>
      <c r="B385" s="7"/>
    </row>
    <row r="386" ht="15.75" customHeight="1">
      <c r="A386" s="7"/>
      <c r="B386" s="7"/>
    </row>
    <row r="387" ht="15.75" customHeight="1">
      <c r="A387" s="7"/>
      <c r="B387" s="7"/>
    </row>
    <row r="388" ht="15.75" customHeight="1">
      <c r="A388" s="7"/>
      <c r="B388" s="7"/>
    </row>
    <row r="389" ht="15.75" customHeight="1">
      <c r="A389" s="7"/>
      <c r="B389" s="7"/>
    </row>
    <row r="390" ht="15.75" customHeight="1">
      <c r="A390" s="7"/>
      <c r="B390" s="7"/>
    </row>
    <row r="391" ht="15.75" customHeight="1">
      <c r="A391" s="7"/>
      <c r="B391" s="7"/>
    </row>
    <row r="392" ht="15.75" customHeight="1">
      <c r="A392" s="7"/>
      <c r="B392" s="7"/>
    </row>
    <row r="393" ht="15.75" customHeight="1">
      <c r="A393" s="7"/>
      <c r="B393" s="7"/>
    </row>
    <row r="394" ht="15.75" customHeight="1">
      <c r="A394" s="7"/>
      <c r="B394" s="7"/>
    </row>
    <row r="395" ht="15.75" customHeight="1">
      <c r="A395" s="7"/>
      <c r="B395" s="7"/>
    </row>
    <row r="396" ht="15.75" customHeight="1">
      <c r="A396" s="7"/>
      <c r="B396" s="7"/>
    </row>
    <row r="397" ht="15.75" customHeight="1">
      <c r="A397" s="7"/>
      <c r="B397" s="7"/>
    </row>
    <row r="398" ht="15.75" customHeight="1">
      <c r="A398" s="7"/>
      <c r="B398" s="7"/>
    </row>
    <row r="399" ht="15.75" customHeight="1">
      <c r="A399" s="7"/>
      <c r="B399" s="7"/>
    </row>
    <row r="400" ht="15.75" customHeight="1">
      <c r="A400" s="7"/>
      <c r="B400" s="7"/>
    </row>
    <row r="401" ht="15.75" customHeight="1">
      <c r="A401" s="7"/>
      <c r="B401" s="7"/>
    </row>
    <row r="402" ht="15.75" customHeight="1">
      <c r="A402" s="7"/>
      <c r="B402" s="7"/>
    </row>
    <row r="403" ht="15.75" customHeight="1">
      <c r="A403" s="7"/>
      <c r="B403" s="7"/>
    </row>
    <row r="404" ht="15.75" customHeight="1">
      <c r="A404" s="7"/>
      <c r="B404" s="7"/>
    </row>
    <row r="405" ht="15.75" customHeight="1">
      <c r="A405" s="7"/>
      <c r="B405" s="7"/>
    </row>
    <row r="406" ht="15.75" customHeight="1">
      <c r="A406" s="7"/>
      <c r="B406" s="7"/>
    </row>
    <row r="407" ht="15.75" customHeight="1">
      <c r="A407" s="7"/>
      <c r="B407" s="7"/>
    </row>
    <row r="408" ht="15.75" customHeight="1">
      <c r="A408" s="7"/>
      <c r="B408" s="7"/>
    </row>
    <row r="409" ht="15.75" customHeight="1">
      <c r="A409" s="7"/>
      <c r="B409" s="7"/>
    </row>
    <row r="410" ht="15.75" customHeight="1">
      <c r="A410" s="7"/>
      <c r="B410" s="7"/>
    </row>
    <row r="411" ht="15.75" customHeight="1">
      <c r="A411" s="7"/>
      <c r="B411" s="7"/>
    </row>
    <row r="412" ht="15.75" customHeight="1">
      <c r="A412" s="7"/>
      <c r="B412" s="7"/>
    </row>
    <row r="413" ht="15.75" customHeight="1">
      <c r="A413" s="7"/>
      <c r="B413" s="7"/>
    </row>
    <row r="414" ht="15.75" customHeight="1">
      <c r="A414" s="7"/>
      <c r="B414" s="7"/>
    </row>
    <row r="415" ht="15.75" customHeight="1">
      <c r="A415" s="7"/>
      <c r="B415" s="7"/>
    </row>
    <row r="416" ht="15.75" customHeight="1">
      <c r="A416" s="7"/>
      <c r="B416" s="7"/>
    </row>
    <row r="417" ht="15.75" customHeight="1">
      <c r="A417" s="7"/>
      <c r="B417" s="7"/>
    </row>
    <row r="418" ht="15.75" customHeight="1">
      <c r="A418" s="7"/>
      <c r="B418" s="7"/>
    </row>
    <row r="419" ht="15.75" customHeight="1">
      <c r="A419" s="7"/>
      <c r="B419" s="7"/>
    </row>
    <row r="420" ht="15.75" customHeight="1">
      <c r="A420" s="7"/>
      <c r="B420" s="7"/>
    </row>
    <row r="421" ht="15.75" customHeight="1">
      <c r="A421" s="7"/>
      <c r="B421" s="7"/>
    </row>
    <row r="422" ht="15.75" customHeight="1">
      <c r="A422" s="7"/>
      <c r="B422" s="7"/>
    </row>
    <row r="423" ht="15.75" customHeight="1">
      <c r="A423" s="7"/>
      <c r="B423" s="7"/>
    </row>
    <row r="424" ht="15.75" customHeight="1">
      <c r="A424" s="7"/>
      <c r="B424" s="7"/>
    </row>
    <row r="425" ht="15.75" customHeight="1">
      <c r="A425" s="7"/>
      <c r="B425" s="7"/>
    </row>
    <row r="426" ht="15.75" customHeight="1">
      <c r="A426" s="7"/>
      <c r="B426" s="7"/>
    </row>
    <row r="427" ht="15.75" customHeight="1">
      <c r="A427" s="7"/>
      <c r="B427" s="7"/>
    </row>
    <row r="428" ht="15.75" customHeight="1">
      <c r="A428" s="7"/>
      <c r="B428" s="7"/>
    </row>
    <row r="429" ht="15.75" customHeight="1">
      <c r="A429" s="7"/>
      <c r="B429" s="7"/>
    </row>
    <row r="430" ht="15.75" customHeight="1">
      <c r="A430" s="7"/>
      <c r="B430" s="7"/>
    </row>
    <row r="431" ht="15.75" customHeight="1">
      <c r="A431" s="7"/>
      <c r="B431" s="7"/>
    </row>
    <row r="432" ht="15.75" customHeight="1">
      <c r="A432" s="7"/>
      <c r="B432" s="7"/>
    </row>
    <row r="433" ht="15.75" customHeight="1">
      <c r="A433" s="7"/>
      <c r="B433" s="7"/>
    </row>
    <row r="434" ht="15.75" customHeight="1">
      <c r="A434" s="7"/>
      <c r="B434" s="7"/>
    </row>
    <row r="435" ht="15.75" customHeight="1">
      <c r="A435" s="7"/>
      <c r="B435" s="7"/>
    </row>
    <row r="436" ht="15.75" customHeight="1">
      <c r="A436" s="7"/>
      <c r="B436" s="7"/>
    </row>
    <row r="437" ht="15.75" customHeight="1">
      <c r="A437" s="7"/>
      <c r="B437" s="7"/>
    </row>
    <row r="438" ht="15.75" customHeight="1">
      <c r="A438" s="7"/>
      <c r="B438" s="7"/>
    </row>
    <row r="439" ht="15.75" customHeight="1">
      <c r="A439" s="7"/>
      <c r="B439" s="7"/>
    </row>
    <row r="440" ht="15.75" customHeight="1">
      <c r="A440" s="7"/>
      <c r="B440" s="7"/>
    </row>
    <row r="441" ht="15.75" customHeight="1">
      <c r="A441" s="7"/>
      <c r="B441" s="7"/>
    </row>
    <row r="442" ht="15.75" customHeight="1">
      <c r="A442" s="7"/>
      <c r="B442" s="7"/>
    </row>
    <row r="443" ht="15.75" customHeight="1">
      <c r="A443" s="7"/>
      <c r="B443" s="7"/>
    </row>
    <row r="444" ht="15.75" customHeight="1">
      <c r="A444" s="7"/>
      <c r="B444" s="7"/>
    </row>
    <row r="445" ht="15.75" customHeight="1">
      <c r="A445" s="7"/>
      <c r="B445" s="7"/>
    </row>
    <row r="446" ht="15.75" customHeight="1">
      <c r="A446" s="7"/>
      <c r="B446" s="7"/>
    </row>
    <row r="447" ht="15.75" customHeight="1">
      <c r="A447" s="7"/>
      <c r="B447" s="7"/>
    </row>
    <row r="448" ht="15.75" customHeight="1">
      <c r="A448" s="7"/>
      <c r="B448" s="7"/>
    </row>
    <row r="449" ht="15.75" customHeight="1">
      <c r="A449" s="7"/>
      <c r="B449" s="7"/>
    </row>
    <row r="450" ht="15.75" customHeight="1">
      <c r="A450" s="7"/>
      <c r="B450" s="7"/>
    </row>
    <row r="451" ht="15.75" customHeight="1">
      <c r="A451" s="7"/>
      <c r="B451" s="7"/>
    </row>
    <row r="452" ht="15.75" customHeight="1">
      <c r="A452" s="7"/>
      <c r="B452" s="7"/>
    </row>
    <row r="453" ht="15.75" customHeight="1">
      <c r="A453" s="7"/>
      <c r="B453" s="7"/>
    </row>
    <row r="454" ht="15.75" customHeight="1">
      <c r="A454" s="7"/>
      <c r="B454" s="7"/>
    </row>
    <row r="455" ht="15.75" customHeight="1">
      <c r="A455" s="7"/>
      <c r="B455" s="7"/>
    </row>
    <row r="456" ht="15.75" customHeight="1">
      <c r="A456" s="7"/>
      <c r="B456" s="7"/>
    </row>
    <row r="457" ht="15.75" customHeight="1">
      <c r="A457" s="7"/>
      <c r="B457" s="7"/>
    </row>
    <row r="458" ht="15.75" customHeight="1">
      <c r="A458" s="7"/>
      <c r="B458" s="7"/>
    </row>
    <row r="459" ht="15.75" customHeight="1">
      <c r="A459" s="7"/>
      <c r="B459" s="7"/>
    </row>
    <row r="460" ht="15.75" customHeight="1">
      <c r="A460" s="7"/>
      <c r="B460" s="7"/>
    </row>
    <row r="461" ht="15.75" customHeight="1">
      <c r="A461" s="7"/>
      <c r="B461" s="7"/>
    </row>
    <row r="462" ht="15.75" customHeight="1">
      <c r="A462" s="7"/>
      <c r="B462" s="7"/>
    </row>
    <row r="463" ht="15.75" customHeight="1">
      <c r="A463" s="7"/>
      <c r="B463" s="7"/>
    </row>
    <row r="464" ht="15.75" customHeight="1">
      <c r="A464" s="7"/>
      <c r="B464" s="7"/>
    </row>
    <row r="465" ht="15.75" customHeight="1">
      <c r="A465" s="7"/>
      <c r="B465" s="7"/>
    </row>
    <row r="466" ht="15.75" customHeight="1">
      <c r="A466" s="7"/>
      <c r="B466" s="7"/>
    </row>
    <row r="467" ht="15.75" customHeight="1">
      <c r="A467" s="7"/>
      <c r="B467" s="7"/>
    </row>
    <row r="468" ht="15.75" customHeight="1">
      <c r="A468" s="7"/>
      <c r="B468" s="7"/>
    </row>
    <row r="469" ht="15.75" customHeight="1">
      <c r="A469" s="7"/>
      <c r="B469" s="7"/>
    </row>
    <row r="470" ht="15.75" customHeight="1">
      <c r="A470" s="7"/>
      <c r="B470" s="7"/>
    </row>
    <row r="471" ht="15.75" customHeight="1">
      <c r="A471" s="7"/>
      <c r="B471" s="7"/>
    </row>
    <row r="472" ht="15.75" customHeight="1">
      <c r="A472" s="7"/>
      <c r="B472" s="7"/>
    </row>
    <row r="473" ht="15.75" customHeight="1">
      <c r="A473" s="7"/>
      <c r="B473" s="7"/>
    </row>
    <row r="474" ht="15.75" customHeight="1">
      <c r="A474" s="7"/>
      <c r="B474" s="7"/>
    </row>
    <row r="475" ht="15.75" customHeight="1">
      <c r="A475" s="7"/>
      <c r="B475" s="7"/>
    </row>
    <row r="476" ht="15.75" customHeight="1">
      <c r="A476" s="7"/>
      <c r="B476" s="7"/>
    </row>
    <row r="477" ht="15.75" customHeight="1">
      <c r="A477" s="7"/>
      <c r="B477" s="7"/>
    </row>
    <row r="478" ht="15.75" customHeight="1">
      <c r="A478" s="7"/>
      <c r="B478" s="7"/>
    </row>
    <row r="479" ht="15.75" customHeight="1">
      <c r="A479" s="7"/>
      <c r="B479" s="7"/>
    </row>
    <row r="480" ht="15.75" customHeight="1">
      <c r="A480" s="7"/>
      <c r="B480" s="7"/>
    </row>
    <row r="481" ht="15.75" customHeight="1">
      <c r="A481" s="7"/>
      <c r="B481" s="7"/>
    </row>
    <row r="482" ht="15.75" customHeight="1">
      <c r="A482" s="7"/>
      <c r="B482" s="7"/>
    </row>
    <row r="483" ht="15.75" customHeight="1">
      <c r="A483" s="7"/>
      <c r="B483" s="7"/>
    </row>
    <row r="484" ht="15.75" customHeight="1">
      <c r="A484" s="7"/>
      <c r="B484" s="7"/>
    </row>
    <row r="485" ht="15.75" customHeight="1">
      <c r="A485" s="7"/>
      <c r="B485" s="7"/>
    </row>
    <row r="486" ht="15.75" customHeight="1">
      <c r="A486" s="7"/>
      <c r="B486" s="7"/>
    </row>
    <row r="487" ht="15.75" customHeight="1">
      <c r="A487" s="7"/>
      <c r="B487" s="7"/>
    </row>
    <row r="488" ht="15.75" customHeight="1">
      <c r="A488" s="7"/>
      <c r="B488" s="7"/>
    </row>
    <row r="489" ht="15.75" customHeight="1">
      <c r="A489" s="7"/>
      <c r="B489" s="7"/>
    </row>
    <row r="490" ht="15.75" customHeight="1">
      <c r="A490" s="7"/>
      <c r="B490" s="7"/>
    </row>
    <row r="491" ht="15.75" customHeight="1">
      <c r="A491" s="7"/>
      <c r="B491" s="7"/>
    </row>
    <row r="492" ht="15.75" customHeight="1">
      <c r="A492" s="7"/>
      <c r="B492" s="7"/>
    </row>
    <row r="493" ht="15.75" customHeight="1">
      <c r="A493" s="7"/>
      <c r="B493" s="7"/>
    </row>
    <row r="494" ht="15.75" customHeight="1">
      <c r="A494" s="7"/>
      <c r="B494" s="7"/>
    </row>
    <row r="495" ht="15.75" customHeight="1">
      <c r="A495" s="7"/>
      <c r="B495" s="7"/>
    </row>
    <row r="496" ht="15.75" customHeight="1">
      <c r="A496" s="7"/>
      <c r="B496" s="7"/>
    </row>
    <row r="497" ht="15.75" customHeight="1">
      <c r="A497" s="7"/>
      <c r="B497" s="7"/>
    </row>
    <row r="498" ht="15.75" customHeight="1">
      <c r="A498" s="7"/>
      <c r="B498" s="7"/>
    </row>
    <row r="499" ht="15.75" customHeight="1">
      <c r="A499" s="7"/>
      <c r="B499" s="7"/>
    </row>
    <row r="500" ht="15.75" customHeight="1">
      <c r="A500" s="7"/>
      <c r="B500" s="7"/>
    </row>
    <row r="501" ht="15.75" customHeight="1">
      <c r="A501" s="7"/>
      <c r="B501" s="7"/>
    </row>
    <row r="502" ht="15.75" customHeight="1">
      <c r="A502" s="7"/>
      <c r="B502" s="7"/>
    </row>
    <row r="503" ht="15.75" customHeight="1">
      <c r="A503" s="7"/>
      <c r="B503" s="7"/>
    </row>
    <row r="504" ht="15.75" customHeight="1">
      <c r="A504" s="7"/>
      <c r="B504" s="7"/>
    </row>
    <row r="505" ht="15.75" customHeight="1">
      <c r="A505" s="7"/>
      <c r="B505" s="7"/>
    </row>
    <row r="506" ht="15.75" customHeight="1">
      <c r="A506" s="7"/>
      <c r="B506" s="7"/>
    </row>
    <row r="507" ht="15.75" customHeight="1">
      <c r="A507" s="7"/>
      <c r="B507" s="7"/>
    </row>
    <row r="508" ht="15.75" customHeight="1">
      <c r="A508" s="7"/>
      <c r="B508" s="7"/>
    </row>
    <row r="509" ht="15.75" customHeight="1">
      <c r="A509" s="7"/>
      <c r="B509" s="7"/>
    </row>
    <row r="510" ht="15.75" customHeight="1">
      <c r="A510" s="7"/>
      <c r="B510" s="7"/>
    </row>
    <row r="511" ht="15.75" customHeight="1">
      <c r="A511" s="7"/>
      <c r="B511" s="7"/>
    </row>
    <row r="512" ht="15.75" customHeight="1">
      <c r="A512" s="7"/>
      <c r="B512" s="7"/>
    </row>
    <row r="513" ht="15.75" customHeight="1">
      <c r="A513" s="7"/>
      <c r="B513" s="7"/>
    </row>
    <row r="514" ht="15.75" customHeight="1">
      <c r="A514" s="7"/>
      <c r="B514" s="7"/>
    </row>
    <row r="515" ht="15.75" customHeight="1">
      <c r="A515" s="7"/>
      <c r="B515" s="7"/>
    </row>
    <row r="516" ht="15.75" customHeight="1">
      <c r="A516" s="7"/>
      <c r="B516" s="7"/>
    </row>
    <row r="517" ht="15.75" customHeight="1">
      <c r="A517" s="7"/>
      <c r="B517" s="7"/>
    </row>
    <row r="518" ht="15.75" customHeight="1">
      <c r="A518" s="7"/>
      <c r="B518" s="7"/>
    </row>
    <row r="519" ht="15.75" customHeight="1">
      <c r="A519" s="7"/>
      <c r="B519" s="7"/>
    </row>
    <row r="520" ht="15.75" customHeight="1">
      <c r="A520" s="7"/>
      <c r="B520" s="7"/>
    </row>
    <row r="521" ht="15.75" customHeight="1">
      <c r="A521" s="7"/>
      <c r="B521" s="7"/>
    </row>
    <row r="522" ht="15.75" customHeight="1">
      <c r="A522" s="7"/>
      <c r="B522" s="7"/>
    </row>
    <row r="523" ht="15.75" customHeight="1">
      <c r="A523" s="7"/>
      <c r="B523" s="7"/>
    </row>
    <row r="524" ht="15.75" customHeight="1">
      <c r="A524" s="7"/>
      <c r="B524" s="7"/>
    </row>
    <row r="525" ht="15.75" customHeight="1">
      <c r="A525" s="7"/>
      <c r="B525" s="7"/>
    </row>
    <row r="526" ht="15.75" customHeight="1">
      <c r="A526" s="7"/>
      <c r="B526" s="7"/>
    </row>
    <row r="527" ht="15.75" customHeight="1">
      <c r="A527" s="7"/>
      <c r="B527" s="7"/>
    </row>
    <row r="528" ht="15.75" customHeight="1">
      <c r="A528" s="7"/>
      <c r="B528" s="7"/>
    </row>
    <row r="529" ht="15.75" customHeight="1">
      <c r="A529" s="7"/>
      <c r="B529" s="7"/>
    </row>
    <row r="530" ht="15.75" customHeight="1">
      <c r="A530" s="7"/>
      <c r="B530" s="7"/>
    </row>
    <row r="531" ht="15.75" customHeight="1">
      <c r="A531" s="7"/>
      <c r="B531" s="7"/>
    </row>
    <row r="532" ht="15.75" customHeight="1">
      <c r="A532" s="7"/>
      <c r="B532" s="7"/>
    </row>
    <row r="533" ht="15.75" customHeight="1">
      <c r="A533" s="7"/>
      <c r="B533" s="7"/>
    </row>
    <row r="534" ht="15.75" customHeight="1">
      <c r="A534" s="7"/>
      <c r="B534" s="7"/>
    </row>
    <row r="535" ht="15.75" customHeight="1">
      <c r="A535" s="7"/>
      <c r="B535" s="7"/>
    </row>
    <row r="536" ht="15.75" customHeight="1">
      <c r="A536" s="7"/>
      <c r="B536" s="7"/>
    </row>
    <row r="537" ht="15.75" customHeight="1">
      <c r="A537" s="7"/>
      <c r="B537" s="7"/>
    </row>
    <row r="538" ht="15.75" customHeight="1">
      <c r="A538" s="7"/>
      <c r="B538" s="7"/>
    </row>
    <row r="539" ht="15.75" customHeight="1">
      <c r="A539" s="7"/>
      <c r="B539" s="7"/>
    </row>
    <row r="540" ht="15.75" customHeight="1">
      <c r="A540" s="7"/>
      <c r="B540" s="7"/>
    </row>
    <row r="541" ht="15.75" customHeight="1">
      <c r="A541" s="7"/>
      <c r="B541" s="7"/>
    </row>
    <row r="542" ht="15.75" customHeight="1">
      <c r="A542" s="7"/>
      <c r="B542" s="7"/>
    </row>
    <row r="543" ht="15.75" customHeight="1">
      <c r="A543" s="7"/>
      <c r="B543" s="7"/>
    </row>
    <row r="544" ht="15.75" customHeight="1">
      <c r="A544" s="7"/>
      <c r="B544" s="7"/>
    </row>
    <row r="545" ht="15.75" customHeight="1">
      <c r="A545" s="7"/>
      <c r="B545" s="7"/>
    </row>
    <row r="546" ht="15.75" customHeight="1">
      <c r="A546" s="7"/>
      <c r="B546" s="7"/>
    </row>
    <row r="547" ht="15.75" customHeight="1">
      <c r="A547" s="7"/>
      <c r="B547" s="7"/>
    </row>
    <row r="548" ht="15.75" customHeight="1">
      <c r="A548" s="7"/>
      <c r="B548" s="7"/>
    </row>
    <row r="549" ht="15.75" customHeight="1">
      <c r="A549" s="7"/>
      <c r="B549" s="7"/>
    </row>
    <row r="550" ht="15.75" customHeight="1">
      <c r="A550" s="7"/>
      <c r="B550" s="7"/>
    </row>
    <row r="551" ht="15.75" customHeight="1">
      <c r="A551" s="7"/>
      <c r="B551" s="7"/>
    </row>
    <row r="552" ht="15.75" customHeight="1">
      <c r="A552" s="7"/>
      <c r="B552" s="7"/>
    </row>
    <row r="553" ht="15.75" customHeight="1">
      <c r="A553" s="7"/>
      <c r="B553" s="7"/>
    </row>
    <row r="554" ht="15.75" customHeight="1">
      <c r="A554" s="7"/>
      <c r="B554" s="7"/>
    </row>
    <row r="555" ht="15.75" customHeight="1">
      <c r="A555" s="7"/>
      <c r="B555" s="7"/>
    </row>
    <row r="556" ht="15.75" customHeight="1">
      <c r="A556" s="7"/>
      <c r="B556" s="7"/>
    </row>
    <row r="557" ht="15.75" customHeight="1">
      <c r="A557" s="7"/>
      <c r="B557" s="7"/>
    </row>
    <row r="558" ht="15.75" customHeight="1">
      <c r="A558" s="7"/>
      <c r="B558" s="7"/>
    </row>
    <row r="559" ht="15.75" customHeight="1">
      <c r="A559" s="7"/>
      <c r="B559" s="7"/>
    </row>
    <row r="560" ht="15.75" customHeight="1">
      <c r="A560" s="7"/>
      <c r="B560" s="7"/>
    </row>
    <row r="561" ht="15.75" customHeight="1">
      <c r="A561" s="7"/>
      <c r="B561" s="7"/>
    </row>
    <row r="562" ht="15.75" customHeight="1">
      <c r="A562" s="7"/>
      <c r="B562" s="7"/>
    </row>
    <row r="563" ht="15.75" customHeight="1">
      <c r="A563" s="7"/>
      <c r="B563" s="7"/>
    </row>
    <row r="564" ht="15.75" customHeight="1">
      <c r="A564" s="7"/>
      <c r="B564" s="7"/>
    </row>
    <row r="565" ht="15.75" customHeight="1">
      <c r="A565" s="7"/>
      <c r="B565" s="7"/>
    </row>
    <row r="566" ht="15.75" customHeight="1">
      <c r="A566" s="7"/>
      <c r="B566" s="7"/>
    </row>
    <row r="567" ht="15.75" customHeight="1">
      <c r="A567" s="7"/>
      <c r="B567" s="7"/>
    </row>
    <row r="568" ht="15.75" customHeight="1">
      <c r="A568" s="7"/>
      <c r="B568" s="7"/>
    </row>
    <row r="569" ht="15.75" customHeight="1">
      <c r="A569" s="7"/>
      <c r="B569" s="7"/>
    </row>
    <row r="570" ht="15.75" customHeight="1">
      <c r="A570" s="7"/>
      <c r="B570" s="7"/>
    </row>
    <row r="571" ht="15.75" customHeight="1">
      <c r="A571" s="7"/>
      <c r="B571" s="7"/>
    </row>
    <row r="572" ht="15.75" customHeight="1">
      <c r="A572" s="7"/>
      <c r="B572" s="7"/>
    </row>
    <row r="573" ht="15.75" customHeight="1">
      <c r="A573" s="7"/>
      <c r="B573" s="7"/>
    </row>
    <row r="574" ht="15.75" customHeight="1">
      <c r="A574" s="7"/>
      <c r="B574" s="7"/>
    </row>
    <row r="575" ht="15.75" customHeight="1">
      <c r="A575" s="7"/>
      <c r="B575" s="7"/>
    </row>
    <row r="576" ht="15.75" customHeight="1">
      <c r="A576" s="7"/>
      <c r="B576" s="7"/>
    </row>
    <row r="577" ht="15.75" customHeight="1">
      <c r="A577" s="7"/>
      <c r="B577" s="7"/>
    </row>
    <row r="578" ht="15.75" customHeight="1">
      <c r="A578" s="7"/>
      <c r="B578" s="7"/>
    </row>
    <row r="579" ht="15.75" customHeight="1">
      <c r="A579" s="7"/>
      <c r="B579" s="7"/>
    </row>
    <row r="580" ht="15.75" customHeight="1">
      <c r="A580" s="7"/>
      <c r="B580" s="7"/>
    </row>
    <row r="581" ht="15.75" customHeight="1">
      <c r="A581" s="7"/>
      <c r="B581" s="7"/>
    </row>
    <row r="582" ht="15.75" customHeight="1">
      <c r="A582" s="7"/>
      <c r="B582" s="7"/>
    </row>
    <row r="583" ht="15.75" customHeight="1">
      <c r="A583" s="7"/>
      <c r="B583" s="7"/>
    </row>
    <row r="584" ht="15.75" customHeight="1">
      <c r="A584" s="7"/>
      <c r="B584" s="7"/>
    </row>
    <row r="585" ht="15.75" customHeight="1">
      <c r="A585" s="7"/>
      <c r="B585" s="7"/>
    </row>
    <row r="586" ht="15.75" customHeight="1">
      <c r="A586" s="7"/>
      <c r="B586" s="7"/>
    </row>
    <row r="587" ht="15.75" customHeight="1">
      <c r="A587" s="7"/>
      <c r="B587" s="7"/>
    </row>
    <row r="588" ht="15.75" customHeight="1">
      <c r="A588" s="7"/>
      <c r="B588" s="7"/>
    </row>
    <row r="589" ht="15.75" customHeight="1">
      <c r="A589" s="7"/>
      <c r="B589" s="7"/>
    </row>
    <row r="590" ht="15.75" customHeight="1">
      <c r="A590" s="7"/>
      <c r="B590" s="7"/>
    </row>
    <row r="591" ht="15.75" customHeight="1">
      <c r="A591" s="7"/>
      <c r="B591" s="7"/>
    </row>
    <row r="592" ht="15.75" customHeight="1">
      <c r="A592" s="7"/>
      <c r="B592" s="7"/>
    </row>
    <row r="593" ht="15.75" customHeight="1">
      <c r="A593" s="7"/>
      <c r="B593" s="7"/>
    </row>
    <row r="594" ht="15.75" customHeight="1">
      <c r="A594" s="7"/>
      <c r="B594" s="7"/>
    </row>
    <row r="595" ht="15.75" customHeight="1">
      <c r="A595" s="7"/>
      <c r="B595" s="7"/>
    </row>
    <row r="596" ht="15.75" customHeight="1">
      <c r="A596" s="7"/>
      <c r="B596" s="7"/>
    </row>
    <row r="597" ht="15.75" customHeight="1">
      <c r="A597" s="7"/>
      <c r="B597" s="7"/>
    </row>
    <row r="598" ht="15.75" customHeight="1">
      <c r="A598" s="7"/>
      <c r="B598" s="7"/>
    </row>
    <row r="599" ht="15.75" customHeight="1">
      <c r="A599" s="7"/>
      <c r="B599" s="7"/>
    </row>
    <row r="600" ht="15.75" customHeight="1">
      <c r="A600" s="7"/>
      <c r="B600" s="7"/>
    </row>
    <row r="601" ht="15.75" customHeight="1">
      <c r="A601" s="7"/>
      <c r="B601" s="7"/>
    </row>
    <row r="602" ht="15.75" customHeight="1">
      <c r="A602" s="7"/>
      <c r="B602" s="7"/>
    </row>
    <row r="603" ht="15.75" customHeight="1">
      <c r="A603" s="7"/>
      <c r="B603" s="7"/>
    </row>
    <row r="604" ht="15.75" customHeight="1">
      <c r="A604" s="7"/>
      <c r="B604" s="7"/>
    </row>
    <row r="605" ht="15.75" customHeight="1">
      <c r="A605" s="7"/>
      <c r="B605" s="7"/>
    </row>
    <row r="606" ht="15.75" customHeight="1">
      <c r="A606" s="7"/>
      <c r="B606" s="7"/>
    </row>
    <row r="607" ht="15.75" customHeight="1">
      <c r="A607" s="7"/>
      <c r="B607" s="7"/>
    </row>
    <row r="608" ht="15.75" customHeight="1">
      <c r="A608" s="7"/>
      <c r="B608" s="7"/>
    </row>
    <row r="609" ht="15.75" customHeight="1">
      <c r="A609" s="7"/>
      <c r="B609" s="7"/>
    </row>
    <row r="610" ht="15.75" customHeight="1">
      <c r="A610" s="7"/>
      <c r="B610" s="7"/>
    </row>
    <row r="611" ht="15.75" customHeight="1">
      <c r="A611" s="7"/>
      <c r="B611" s="7"/>
    </row>
    <row r="612" ht="15.75" customHeight="1">
      <c r="A612" s="7"/>
      <c r="B612" s="7"/>
    </row>
    <row r="613" ht="15.75" customHeight="1">
      <c r="A613" s="7"/>
      <c r="B613" s="7"/>
    </row>
    <row r="614" ht="15.75" customHeight="1">
      <c r="A614" s="7"/>
      <c r="B614" s="7"/>
    </row>
    <row r="615" ht="15.75" customHeight="1">
      <c r="A615" s="7"/>
      <c r="B615" s="7"/>
    </row>
    <row r="616" ht="15.75" customHeight="1">
      <c r="A616" s="7"/>
      <c r="B616" s="7"/>
    </row>
    <row r="617" ht="15.75" customHeight="1">
      <c r="A617" s="7"/>
      <c r="B617" s="7"/>
    </row>
    <row r="618" ht="15.75" customHeight="1">
      <c r="A618" s="7"/>
      <c r="B618" s="7"/>
    </row>
    <row r="619" ht="15.75" customHeight="1">
      <c r="A619" s="7"/>
      <c r="B619" s="7"/>
    </row>
    <row r="620" ht="15.75" customHeight="1">
      <c r="A620" s="7"/>
      <c r="B620" s="7"/>
    </row>
    <row r="621" ht="15.75" customHeight="1">
      <c r="A621" s="7"/>
      <c r="B621" s="7"/>
    </row>
    <row r="622" ht="15.75" customHeight="1">
      <c r="A622" s="7"/>
      <c r="B622" s="7"/>
    </row>
    <row r="623" ht="15.75" customHeight="1">
      <c r="A623" s="7"/>
      <c r="B623" s="7"/>
    </row>
    <row r="624" ht="15.75" customHeight="1">
      <c r="A624" s="7"/>
      <c r="B624" s="7"/>
    </row>
    <row r="625" ht="15.75" customHeight="1">
      <c r="A625" s="7"/>
      <c r="B625" s="7"/>
    </row>
    <row r="626" ht="15.75" customHeight="1">
      <c r="A626" s="7"/>
      <c r="B626" s="7"/>
    </row>
    <row r="627" ht="15.75" customHeight="1">
      <c r="A627" s="7"/>
      <c r="B627" s="7"/>
    </row>
    <row r="628" ht="15.75" customHeight="1">
      <c r="A628" s="7"/>
      <c r="B628" s="7"/>
    </row>
    <row r="629" ht="15.75" customHeight="1">
      <c r="A629" s="7"/>
      <c r="B629" s="7"/>
    </row>
    <row r="630" ht="15.75" customHeight="1">
      <c r="A630" s="7"/>
      <c r="B630" s="7"/>
    </row>
    <row r="631" ht="15.75" customHeight="1">
      <c r="A631" s="7"/>
      <c r="B631" s="7"/>
    </row>
    <row r="632" ht="15.75" customHeight="1">
      <c r="A632" s="7"/>
      <c r="B632" s="7"/>
    </row>
    <row r="633" ht="15.75" customHeight="1">
      <c r="A633" s="7"/>
      <c r="B633" s="7"/>
    </row>
    <row r="634" ht="15.75" customHeight="1">
      <c r="A634" s="7"/>
      <c r="B634" s="7"/>
    </row>
    <row r="635" ht="15.75" customHeight="1">
      <c r="A635" s="7"/>
      <c r="B635" s="7"/>
    </row>
    <row r="636" ht="15.75" customHeight="1">
      <c r="A636" s="7"/>
      <c r="B636" s="7"/>
    </row>
    <row r="637" ht="15.75" customHeight="1">
      <c r="A637" s="7"/>
      <c r="B637" s="7"/>
    </row>
    <row r="638" ht="15.75" customHeight="1">
      <c r="A638" s="7"/>
      <c r="B638" s="7"/>
    </row>
    <row r="639" ht="15.75" customHeight="1">
      <c r="A639" s="7"/>
      <c r="B639" s="7"/>
    </row>
    <row r="640" ht="15.75" customHeight="1">
      <c r="A640" s="7"/>
      <c r="B640" s="7"/>
    </row>
    <row r="641" ht="15.75" customHeight="1">
      <c r="A641" s="7"/>
      <c r="B641" s="7"/>
    </row>
    <row r="642" ht="15.75" customHeight="1">
      <c r="A642" s="7"/>
      <c r="B642" s="7"/>
    </row>
    <row r="643" ht="15.75" customHeight="1">
      <c r="A643" s="7"/>
      <c r="B643" s="7"/>
    </row>
    <row r="644" ht="15.75" customHeight="1">
      <c r="A644" s="7"/>
      <c r="B644" s="7"/>
    </row>
    <row r="645" ht="15.75" customHeight="1">
      <c r="A645" s="7"/>
      <c r="B645" s="7"/>
    </row>
    <row r="646" ht="15.75" customHeight="1">
      <c r="A646" s="7"/>
      <c r="B646" s="7"/>
    </row>
    <row r="647" ht="15.75" customHeight="1">
      <c r="A647" s="7"/>
      <c r="B647" s="7"/>
    </row>
    <row r="648" ht="15.75" customHeight="1">
      <c r="A648" s="7"/>
      <c r="B648" s="7"/>
    </row>
    <row r="649" ht="15.75" customHeight="1">
      <c r="A649" s="7"/>
      <c r="B649" s="7"/>
    </row>
    <row r="650" ht="15.75" customHeight="1">
      <c r="A650" s="7"/>
      <c r="B650" s="7"/>
    </row>
    <row r="651" ht="15.75" customHeight="1">
      <c r="A651" s="7"/>
      <c r="B651" s="7"/>
    </row>
    <row r="652" ht="15.75" customHeight="1">
      <c r="A652" s="7"/>
      <c r="B652" s="7"/>
    </row>
    <row r="653" ht="15.75" customHeight="1">
      <c r="A653" s="7"/>
      <c r="B653" s="7"/>
    </row>
    <row r="654" ht="15.75" customHeight="1">
      <c r="A654" s="7"/>
      <c r="B654" s="7"/>
    </row>
    <row r="655" ht="15.75" customHeight="1">
      <c r="A655" s="7"/>
      <c r="B655" s="7"/>
    </row>
    <row r="656" ht="15.75" customHeight="1">
      <c r="A656" s="7"/>
      <c r="B656" s="7"/>
    </row>
    <row r="657" ht="15.75" customHeight="1">
      <c r="A657" s="7"/>
      <c r="B657" s="7"/>
    </row>
    <row r="658" ht="15.75" customHeight="1">
      <c r="A658" s="7"/>
      <c r="B658" s="7"/>
    </row>
    <row r="659" ht="15.75" customHeight="1">
      <c r="A659" s="7"/>
      <c r="B659" s="7"/>
    </row>
    <row r="660" ht="15.75" customHeight="1">
      <c r="A660" s="7"/>
      <c r="B660" s="7"/>
    </row>
    <row r="661" ht="15.75" customHeight="1">
      <c r="A661" s="7"/>
      <c r="B661" s="7"/>
    </row>
    <row r="662" ht="15.75" customHeight="1">
      <c r="A662" s="7"/>
      <c r="B662" s="7"/>
    </row>
    <row r="663" ht="15.75" customHeight="1">
      <c r="A663" s="7"/>
      <c r="B663" s="7"/>
    </row>
    <row r="664" ht="15.75" customHeight="1">
      <c r="A664" s="7"/>
      <c r="B664" s="7"/>
    </row>
    <row r="665" ht="15.75" customHeight="1">
      <c r="A665" s="7"/>
      <c r="B665" s="7"/>
    </row>
    <row r="666" ht="15.75" customHeight="1">
      <c r="A666" s="7"/>
      <c r="B666" s="7"/>
    </row>
    <row r="667" ht="15.75" customHeight="1">
      <c r="A667" s="7"/>
      <c r="B667" s="7"/>
    </row>
    <row r="668" ht="15.75" customHeight="1">
      <c r="A668" s="7"/>
      <c r="B668" s="7"/>
    </row>
    <row r="669" ht="15.75" customHeight="1">
      <c r="A669" s="7"/>
      <c r="B669" s="7"/>
    </row>
    <row r="670" ht="15.75" customHeight="1">
      <c r="A670" s="7"/>
      <c r="B670" s="7"/>
    </row>
    <row r="671" ht="15.75" customHeight="1">
      <c r="A671" s="7"/>
      <c r="B671" s="7"/>
    </row>
    <row r="672" ht="15.75" customHeight="1">
      <c r="A672" s="7"/>
      <c r="B672" s="7"/>
    </row>
    <row r="673" ht="15.75" customHeight="1">
      <c r="A673" s="7"/>
      <c r="B673" s="7"/>
    </row>
    <row r="674" ht="15.75" customHeight="1">
      <c r="A674" s="7"/>
      <c r="B674" s="7"/>
    </row>
    <row r="675" ht="15.75" customHeight="1">
      <c r="A675" s="7"/>
      <c r="B675" s="7"/>
    </row>
    <row r="676" ht="15.75" customHeight="1">
      <c r="A676" s="7"/>
      <c r="B676" s="7"/>
    </row>
    <row r="677" ht="15.75" customHeight="1">
      <c r="A677" s="7"/>
      <c r="B677" s="7"/>
    </row>
    <row r="678" ht="15.75" customHeight="1">
      <c r="A678" s="7"/>
      <c r="B678" s="7"/>
    </row>
    <row r="679" ht="15.75" customHeight="1">
      <c r="A679" s="7"/>
      <c r="B679" s="7"/>
    </row>
    <row r="680" ht="15.75" customHeight="1">
      <c r="A680" s="7"/>
      <c r="B680" s="7"/>
    </row>
    <row r="681" ht="15.75" customHeight="1">
      <c r="A681" s="7"/>
      <c r="B681" s="7"/>
    </row>
    <row r="682" ht="15.75" customHeight="1">
      <c r="A682" s="7"/>
      <c r="B682" s="7"/>
    </row>
    <row r="683" ht="15.75" customHeight="1">
      <c r="A683" s="7"/>
      <c r="B683" s="7"/>
    </row>
    <row r="684" ht="15.75" customHeight="1">
      <c r="A684" s="7"/>
      <c r="B684" s="7"/>
    </row>
    <row r="685" ht="15.75" customHeight="1">
      <c r="A685" s="7"/>
      <c r="B685" s="7"/>
    </row>
    <row r="686" ht="15.75" customHeight="1">
      <c r="A686" s="7"/>
      <c r="B686" s="7"/>
    </row>
    <row r="687" ht="15.75" customHeight="1">
      <c r="A687" s="7"/>
      <c r="B687" s="7"/>
    </row>
    <row r="688" ht="15.75" customHeight="1">
      <c r="A688" s="7"/>
      <c r="B688" s="7"/>
    </row>
    <row r="689" ht="15.75" customHeight="1">
      <c r="A689" s="7"/>
      <c r="B689" s="7"/>
    </row>
    <row r="690" ht="15.75" customHeight="1">
      <c r="A690" s="7"/>
      <c r="B690" s="7"/>
    </row>
    <row r="691" ht="15.75" customHeight="1">
      <c r="A691" s="7"/>
      <c r="B691" s="7"/>
    </row>
    <row r="692" ht="15.75" customHeight="1">
      <c r="A692" s="7"/>
      <c r="B692" s="7"/>
    </row>
    <row r="693" ht="15.75" customHeight="1">
      <c r="A693" s="7"/>
      <c r="B693" s="7"/>
    </row>
    <row r="694" ht="15.75" customHeight="1">
      <c r="A694" s="7"/>
      <c r="B694" s="7"/>
    </row>
    <row r="695" ht="15.75" customHeight="1">
      <c r="A695" s="7"/>
      <c r="B695" s="7"/>
    </row>
    <row r="696" ht="15.75" customHeight="1">
      <c r="A696" s="7"/>
      <c r="B696" s="7"/>
    </row>
    <row r="697" ht="15.75" customHeight="1">
      <c r="A697" s="7"/>
      <c r="B697" s="7"/>
    </row>
    <row r="698" ht="15.75" customHeight="1">
      <c r="A698" s="7"/>
      <c r="B698" s="7"/>
    </row>
    <row r="699" ht="15.75" customHeight="1">
      <c r="A699" s="7"/>
      <c r="B699" s="7"/>
    </row>
    <row r="700" ht="15.75" customHeight="1">
      <c r="A700" s="7"/>
      <c r="B700" s="7"/>
    </row>
    <row r="701" ht="15.75" customHeight="1">
      <c r="A701" s="7"/>
      <c r="B701" s="7"/>
    </row>
    <row r="702" ht="15.75" customHeight="1">
      <c r="A702" s="7"/>
      <c r="B702" s="7"/>
    </row>
    <row r="703" ht="15.75" customHeight="1">
      <c r="A703" s="7"/>
      <c r="B703" s="7"/>
    </row>
    <row r="704" ht="15.75" customHeight="1">
      <c r="A704" s="7"/>
      <c r="B704" s="7"/>
    </row>
    <row r="705" ht="15.75" customHeight="1">
      <c r="A705" s="7"/>
      <c r="B705" s="7"/>
    </row>
    <row r="706" ht="15.75" customHeight="1">
      <c r="A706" s="7"/>
      <c r="B706" s="7"/>
    </row>
    <row r="707" ht="15.75" customHeight="1">
      <c r="A707" s="7"/>
      <c r="B707" s="7"/>
    </row>
    <row r="708" ht="15.75" customHeight="1">
      <c r="A708" s="7"/>
      <c r="B708" s="7"/>
    </row>
    <row r="709" ht="15.75" customHeight="1">
      <c r="A709" s="7"/>
      <c r="B709" s="7"/>
    </row>
    <row r="710" ht="15.75" customHeight="1">
      <c r="A710" s="7"/>
      <c r="B710" s="7"/>
    </row>
    <row r="711" ht="15.75" customHeight="1">
      <c r="A711" s="7"/>
      <c r="B711" s="7"/>
    </row>
    <row r="712" ht="15.75" customHeight="1">
      <c r="A712" s="7"/>
      <c r="B712" s="7"/>
    </row>
    <row r="713" ht="15.75" customHeight="1">
      <c r="A713" s="7"/>
      <c r="B713" s="7"/>
    </row>
    <row r="714" ht="15.75" customHeight="1">
      <c r="A714" s="7"/>
      <c r="B714" s="7"/>
    </row>
    <row r="715" ht="15.75" customHeight="1">
      <c r="A715" s="7"/>
      <c r="B715" s="7"/>
    </row>
    <row r="716" ht="15.75" customHeight="1">
      <c r="A716" s="7"/>
      <c r="B716" s="7"/>
    </row>
    <row r="717" ht="15.75" customHeight="1">
      <c r="A717" s="7"/>
      <c r="B717" s="7"/>
    </row>
    <row r="718" ht="15.75" customHeight="1">
      <c r="A718" s="7"/>
      <c r="B718" s="7"/>
    </row>
    <row r="719" ht="15.75" customHeight="1">
      <c r="A719" s="7"/>
      <c r="B719" s="7"/>
    </row>
    <row r="720" ht="15.75" customHeight="1">
      <c r="A720" s="7"/>
      <c r="B720" s="7"/>
    </row>
    <row r="721" ht="15.75" customHeight="1">
      <c r="A721" s="7"/>
      <c r="B721" s="7"/>
    </row>
    <row r="722" ht="15.75" customHeight="1">
      <c r="A722" s="7"/>
      <c r="B722" s="7"/>
    </row>
    <row r="723" ht="15.75" customHeight="1">
      <c r="A723" s="7"/>
      <c r="B723" s="7"/>
    </row>
    <row r="724" ht="15.75" customHeight="1">
      <c r="A724" s="7"/>
      <c r="B724" s="7"/>
    </row>
    <row r="725" ht="15.75" customHeight="1">
      <c r="A725" s="7"/>
      <c r="B725" s="7"/>
    </row>
    <row r="726" ht="15.75" customHeight="1">
      <c r="A726" s="7"/>
      <c r="B726" s="7"/>
    </row>
    <row r="727" ht="15.75" customHeight="1">
      <c r="A727" s="7"/>
      <c r="B727" s="7"/>
    </row>
    <row r="728" ht="15.75" customHeight="1">
      <c r="A728" s="7"/>
      <c r="B728" s="7"/>
    </row>
    <row r="729" ht="15.75" customHeight="1">
      <c r="A729" s="7"/>
      <c r="B729" s="7"/>
    </row>
    <row r="730" ht="15.75" customHeight="1">
      <c r="A730" s="7"/>
      <c r="B730" s="7"/>
    </row>
    <row r="731" ht="15.75" customHeight="1">
      <c r="A731" s="7"/>
      <c r="B731" s="7"/>
    </row>
    <row r="732" ht="15.75" customHeight="1">
      <c r="A732" s="7"/>
      <c r="B732" s="7"/>
    </row>
    <row r="733" ht="15.75" customHeight="1">
      <c r="A733" s="7"/>
      <c r="B733" s="7"/>
    </row>
    <row r="734" ht="15.75" customHeight="1">
      <c r="A734" s="7"/>
      <c r="B734" s="7"/>
    </row>
    <row r="735" ht="15.75" customHeight="1">
      <c r="A735" s="7"/>
      <c r="B735" s="7"/>
    </row>
    <row r="736" ht="15.75" customHeight="1">
      <c r="A736" s="7"/>
      <c r="B736" s="7"/>
    </row>
    <row r="737" ht="15.75" customHeight="1">
      <c r="A737" s="7"/>
      <c r="B737" s="7"/>
    </row>
    <row r="738" ht="15.75" customHeight="1">
      <c r="A738" s="7"/>
      <c r="B738" s="7"/>
    </row>
    <row r="739" ht="15.75" customHeight="1">
      <c r="A739" s="7"/>
      <c r="B739" s="7"/>
    </row>
    <row r="740" ht="15.75" customHeight="1">
      <c r="A740" s="7"/>
      <c r="B740" s="7"/>
    </row>
    <row r="741" ht="15.75" customHeight="1">
      <c r="A741" s="7"/>
      <c r="B741" s="7"/>
    </row>
    <row r="742" ht="15.75" customHeight="1">
      <c r="A742" s="7"/>
      <c r="B742" s="7"/>
    </row>
    <row r="743" ht="15.75" customHeight="1">
      <c r="A743" s="7"/>
      <c r="B743" s="7"/>
    </row>
    <row r="744" ht="15.75" customHeight="1">
      <c r="A744" s="7"/>
      <c r="B744" s="7"/>
    </row>
    <row r="745" ht="15.75" customHeight="1">
      <c r="A745" s="7"/>
      <c r="B745" s="7"/>
    </row>
    <row r="746" ht="15.75" customHeight="1">
      <c r="A746" s="7"/>
      <c r="B746" s="7"/>
    </row>
    <row r="747" ht="15.75" customHeight="1">
      <c r="A747" s="7"/>
      <c r="B747" s="7"/>
    </row>
    <row r="748" ht="15.75" customHeight="1">
      <c r="A748" s="7"/>
      <c r="B748" s="7"/>
    </row>
    <row r="749" ht="15.75" customHeight="1">
      <c r="A749" s="7"/>
      <c r="B749" s="7"/>
    </row>
    <row r="750" ht="15.75" customHeight="1">
      <c r="A750" s="7"/>
      <c r="B750" s="7"/>
    </row>
    <row r="751" ht="15.75" customHeight="1">
      <c r="A751" s="7"/>
      <c r="B751" s="7"/>
    </row>
    <row r="752" ht="15.75" customHeight="1">
      <c r="A752" s="7"/>
      <c r="B752" s="7"/>
    </row>
    <row r="753" ht="15.75" customHeight="1">
      <c r="A753" s="7"/>
      <c r="B753" s="7"/>
    </row>
    <row r="754" ht="15.75" customHeight="1">
      <c r="A754" s="7"/>
      <c r="B754" s="7"/>
    </row>
    <row r="755" ht="15.75" customHeight="1">
      <c r="A755" s="7"/>
      <c r="B755" s="7"/>
    </row>
    <row r="756" ht="15.75" customHeight="1">
      <c r="A756" s="7"/>
      <c r="B756" s="7"/>
    </row>
    <row r="757" ht="15.75" customHeight="1">
      <c r="A757" s="7"/>
      <c r="B757" s="7"/>
    </row>
    <row r="758" ht="15.75" customHeight="1">
      <c r="A758" s="7"/>
      <c r="B758" s="7"/>
    </row>
    <row r="759" ht="15.75" customHeight="1">
      <c r="A759" s="7"/>
      <c r="B759" s="7"/>
    </row>
    <row r="760" ht="15.75" customHeight="1">
      <c r="A760" s="7"/>
      <c r="B760" s="7"/>
    </row>
    <row r="761" ht="15.75" customHeight="1">
      <c r="A761" s="7"/>
      <c r="B761" s="7"/>
    </row>
    <row r="762" ht="15.75" customHeight="1">
      <c r="A762" s="7"/>
      <c r="B762" s="7"/>
    </row>
    <row r="763" ht="15.75" customHeight="1">
      <c r="A763" s="7"/>
      <c r="B763" s="7"/>
    </row>
    <row r="764" ht="15.75" customHeight="1">
      <c r="A764" s="7"/>
      <c r="B764" s="7"/>
    </row>
    <row r="765" ht="15.75" customHeight="1">
      <c r="A765" s="7"/>
      <c r="B765" s="7"/>
    </row>
    <row r="766" ht="15.75" customHeight="1">
      <c r="A766" s="7"/>
      <c r="B766" s="7"/>
    </row>
    <row r="767" ht="15.75" customHeight="1">
      <c r="A767" s="7"/>
      <c r="B767" s="7"/>
    </row>
    <row r="768" ht="15.75" customHeight="1">
      <c r="A768" s="7"/>
      <c r="B768" s="7"/>
    </row>
    <row r="769" ht="15.75" customHeight="1">
      <c r="A769" s="7"/>
      <c r="B769" s="7"/>
    </row>
    <row r="770" ht="15.75" customHeight="1">
      <c r="A770" s="7"/>
      <c r="B770" s="7"/>
    </row>
    <row r="771" ht="15.75" customHeight="1">
      <c r="A771" s="7"/>
      <c r="B771" s="7"/>
    </row>
    <row r="772" ht="15.75" customHeight="1">
      <c r="A772" s="7"/>
      <c r="B772" s="7"/>
    </row>
    <row r="773" ht="15.75" customHeight="1">
      <c r="A773" s="7"/>
      <c r="B773" s="7"/>
    </row>
    <row r="774" ht="15.75" customHeight="1">
      <c r="A774" s="7"/>
      <c r="B774" s="7"/>
    </row>
    <row r="775" ht="15.75" customHeight="1">
      <c r="A775" s="7"/>
      <c r="B775" s="7"/>
    </row>
    <row r="776" ht="15.75" customHeight="1">
      <c r="A776" s="7"/>
      <c r="B776" s="7"/>
    </row>
    <row r="777" ht="15.75" customHeight="1">
      <c r="A777" s="7"/>
      <c r="B777" s="7"/>
    </row>
    <row r="778" ht="15.75" customHeight="1">
      <c r="A778" s="7"/>
      <c r="B778" s="7"/>
    </row>
    <row r="779" ht="15.75" customHeight="1">
      <c r="A779" s="7"/>
      <c r="B779" s="7"/>
    </row>
    <row r="780" ht="15.75" customHeight="1">
      <c r="A780" s="7"/>
      <c r="B780" s="7"/>
    </row>
    <row r="781" ht="15.75" customHeight="1">
      <c r="A781" s="7"/>
      <c r="B781" s="7"/>
    </row>
    <row r="782" ht="15.75" customHeight="1">
      <c r="A782" s="7"/>
      <c r="B782" s="7"/>
    </row>
    <row r="783" ht="15.75" customHeight="1">
      <c r="A783" s="7"/>
      <c r="B783" s="7"/>
    </row>
    <row r="784" ht="15.75" customHeight="1">
      <c r="A784" s="7"/>
      <c r="B784" s="7"/>
    </row>
    <row r="785" ht="15.75" customHeight="1">
      <c r="A785" s="7"/>
      <c r="B785" s="7"/>
    </row>
    <row r="786" ht="15.75" customHeight="1">
      <c r="A786" s="7"/>
      <c r="B786" s="7"/>
    </row>
    <row r="787" ht="15.75" customHeight="1">
      <c r="A787" s="7"/>
      <c r="B787" s="7"/>
    </row>
    <row r="788" ht="15.75" customHeight="1">
      <c r="A788" s="7"/>
      <c r="B788" s="7"/>
    </row>
    <row r="789" ht="15.75" customHeight="1">
      <c r="A789" s="7"/>
      <c r="B789" s="7"/>
    </row>
    <row r="790" ht="15.75" customHeight="1">
      <c r="A790" s="7"/>
      <c r="B790" s="7"/>
    </row>
    <row r="791" ht="15.75" customHeight="1">
      <c r="A791" s="7"/>
      <c r="B791" s="7"/>
    </row>
    <row r="792" ht="15.75" customHeight="1">
      <c r="A792" s="7"/>
      <c r="B792" s="7"/>
    </row>
    <row r="793" ht="15.75" customHeight="1">
      <c r="A793" s="7"/>
      <c r="B793" s="7"/>
    </row>
    <row r="794" ht="15.75" customHeight="1">
      <c r="A794" s="7"/>
      <c r="B794" s="7"/>
    </row>
    <row r="795" ht="15.75" customHeight="1">
      <c r="A795" s="7"/>
      <c r="B795" s="7"/>
    </row>
    <row r="796" ht="15.75" customHeight="1">
      <c r="A796" s="7"/>
      <c r="B796" s="7"/>
    </row>
    <row r="797" ht="15.75" customHeight="1">
      <c r="A797" s="7"/>
      <c r="B797" s="7"/>
    </row>
    <row r="798" ht="15.75" customHeight="1">
      <c r="A798" s="7"/>
      <c r="B798" s="7"/>
    </row>
    <row r="799" ht="15.75" customHeight="1">
      <c r="A799" s="7"/>
      <c r="B799" s="7"/>
    </row>
    <row r="800" ht="15.75" customHeight="1">
      <c r="A800" s="7"/>
      <c r="B800" s="7"/>
    </row>
    <row r="801" ht="15.75" customHeight="1">
      <c r="A801" s="7"/>
      <c r="B801" s="7"/>
    </row>
    <row r="802" ht="15.75" customHeight="1">
      <c r="A802" s="7"/>
      <c r="B802" s="7"/>
    </row>
    <row r="803" ht="15.75" customHeight="1">
      <c r="A803" s="7"/>
      <c r="B803" s="7"/>
    </row>
    <row r="804" ht="15.75" customHeight="1">
      <c r="A804" s="7"/>
      <c r="B804" s="7"/>
    </row>
    <row r="805" ht="15.75" customHeight="1">
      <c r="A805" s="7"/>
      <c r="B805" s="7"/>
    </row>
    <row r="806" ht="15.75" customHeight="1">
      <c r="A806" s="7"/>
      <c r="B806" s="7"/>
    </row>
    <row r="807" ht="15.75" customHeight="1">
      <c r="A807" s="7"/>
      <c r="B807" s="7"/>
    </row>
    <row r="808" ht="15.75" customHeight="1">
      <c r="A808" s="7"/>
      <c r="B808" s="7"/>
    </row>
    <row r="809" ht="15.75" customHeight="1">
      <c r="A809" s="7"/>
      <c r="B809" s="7"/>
    </row>
    <row r="810" ht="15.75" customHeight="1">
      <c r="A810" s="7"/>
      <c r="B810" s="7"/>
    </row>
    <row r="811" ht="15.75" customHeight="1">
      <c r="A811" s="7"/>
      <c r="B811" s="7"/>
    </row>
    <row r="812" ht="15.75" customHeight="1">
      <c r="A812" s="7"/>
      <c r="B812" s="7"/>
    </row>
    <row r="813" ht="15.75" customHeight="1">
      <c r="A813" s="7"/>
      <c r="B813" s="7"/>
    </row>
    <row r="814" ht="15.75" customHeight="1">
      <c r="A814" s="7"/>
      <c r="B814" s="7"/>
    </row>
    <row r="815" ht="15.75" customHeight="1">
      <c r="A815" s="7"/>
      <c r="B815" s="7"/>
    </row>
    <row r="816" ht="15.75" customHeight="1">
      <c r="A816" s="7"/>
      <c r="B816" s="7"/>
    </row>
    <row r="817" ht="15.75" customHeight="1">
      <c r="A817" s="7"/>
      <c r="B817" s="7"/>
    </row>
    <row r="818" ht="15.75" customHeight="1">
      <c r="A818" s="7"/>
      <c r="B818" s="7"/>
    </row>
    <row r="819" ht="15.75" customHeight="1">
      <c r="A819" s="7"/>
      <c r="B819" s="7"/>
    </row>
    <row r="820" ht="15.75" customHeight="1">
      <c r="A820" s="7"/>
      <c r="B820" s="7"/>
    </row>
    <row r="821" ht="15.75" customHeight="1">
      <c r="A821" s="7"/>
      <c r="B821" s="7"/>
    </row>
    <row r="822" ht="15.75" customHeight="1">
      <c r="A822" s="7"/>
      <c r="B822" s="7"/>
    </row>
    <row r="823" ht="15.75" customHeight="1">
      <c r="A823" s="7"/>
      <c r="B823" s="7"/>
    </row>
    <row r="824" ht="15.75" customHeight="1">
      <c r="A824" s="7"/>
      <c r="B824" s="7"/>
    </row>
    <row r="825" ht="15.75" customHeight="1">
      <c r="A825" s="7"/>
      <c r="B825" s="7"/>
    </row>
    <row r="826" ht="15.75" customHeight="1">
      <c r="A826" s="7"/>
      <c r="B826" s="7"/>
    </row>
    <row r="827" ht="15.75" customHeight="1">
      <c r="A827" s="7"/>
      <c r="B827" s="7"/>
    </row>
    <row r="828" ht="15.75" customHeight="1">
      <c r="A828" s="7"/>
      <c r="B828" s="7"/>
    </row>
    <row r="829" ht="15.75" customHeight="1">
      <c r="A829" s="7"/>
      <c r="B829" s="7"/>
    </row>
    <row r="830" ht="15.75" customHeight="1">
      <c r="A830" s="7"/>
      <c r="B830" s="7"/>
    </row>
    <row r="831" ht="15.75" customHeight="1">
      <c r="A831" s="7"/>
      <c r="B831" s="7"/>
    </row>
    <row r="832" ht="15.75" customHeight="1">
      <c r="A832" s="7"/>
      <c r="B832" s="7"/>
    </row>
    <row r="833" ht="15.75" customHeight="1">
      <c r="A833" s="7"/>
      <c r="B833" s="7"/>
    </row>
    <row r="834" ht="15.75" customHeight="1">
      <c r="A834" s="7"/>
      <c r="B834" s="7"/>
    </row>
    <row r="835" ht="15.75" customHeight="1">
      <c r="A835" s="7"/>
      <c r="B835" s="7"/>
    </row>
    <row r="836" ht="15.75" customHeight="1">
      <c r="A836" s="7"/>
      <c r="B836" s="7"/>
    </row>
    <row r="837" ht="15.75" customHeight="1">
      <c r="A837" s="7"/>
      <c r="B837" s="7"/>
    </row>
    <row r="838" ht="15.75" customHeight="1">
      <c r="A838" s="7"/>
      <c r="B838" s="7"/>
    </row>
    <row r="839" ht="15.75" customHeight="1">
      <c r="A839" s="7"/>
      <c r="B839" s="7"/>
    </row>
    <row r="840" ht="15.75" customHeight="1">
      <c r="A840" s="7"/>
      <c r="B840" s="7"/>
    </row>
    <row r="841" ht="15.75" customHeight="1">
      <c r="A841" s="7"/>
      <c r="B841" s="7"/>
    </row>
    <row r="842" ht="15.75" customHeight="1">
      <c r="A842" s="7"/>
      <c r="B842" s="7"/>
    </row>
    <row r="843" ht="15.75" customHeight="1">
      <c r="A843" s="7"/>
      <c r="B843" s="7"/>
    </row>
    <row r="844" ht="15.75" customHeight="1">
      <c r="A844" s="7"/>
      <c r="B844" s="7"/>
    </row>
    <row r="845" ht="15.75" customHeight="1">
      <c r="A845" s="7"/>
      <c r="B845" s="7"/>
    </row>
    <row r="846" ht="15.75" customHeight="1">
      <c r="A846" s="7"/>
      <c r="B846" s="7"/>
    </row>
    <row r="847" ht="15.75" customHeight="1">
      <c r="A847" s="7"/>
      <c r="B847" s="7"/>
    </row>
    <row r="848" ht="15.75" customHeight="1">
      <c r="A848" s="7"/>
      <c r="B848" s="7"/>
    </row>
    <row r="849" ht="15.75" customHeight="1">
      <c r="A849" s="7"/>
      <c r="B849" s="7"/>
    </row>
    <row r="850" ht="15.75" customHeight="1">
      <c r="A850" s="7"/>
      <c r="B850" s="7"/>
    </row>
    <row r="851" ht="15.75" customHeight="1">
      <c r="A851" s="7"/>
      <c r="B851" s="7"/>
    </row>
    <row r="852" ht="15.75" customHeight="1">
      <c r="A852" s="7"/>
      <c r="B852" s="7"/>
    </row>
    <row r="853" ht="15.75" customHeight="1">
      <c r="A853" s="7"/>
      <c r="B853" s="7"/>
    </row>
    <row r="854" ht="15.75" customHeight="1">
      <c r="A854" s="7"/>
      <c r="B854" s="7"/>
    </row>
    <row r="855" ht="15.75" customHeight="1">
      <c r="A855" s="7"/>
      <c r="B855" s="7"/>
    </row>
    <row r="856" ht="15.75" customHeight="1">
      <c r="A856" s="7"/>
      <c r="B856" s="7"/>
    </row>
    <row r="857" ht="15.75" customHeight="1">
      <c r="A857" s="7"/>
      <c r="B857" s="7"/>
    </row>
    <row r="858" ht="15.75" customHeight="1">
      <c r="A858" s="7"/>
      <c r="B858" s="7"/>
    </row>
    <row r="859" ht="15.75" customHeight="1">
      <c r="A859" s="7"/>
      <c r="B859" s="7"/>
    </row>
    <row r="860" ht="15.75" customHeight="1">
      <c r="A860" s="7"/>
      <c r="B860" s="7"/>
    </row>
    <row r="861" ht="15.75" customHeight="1">
      <c r="A861" s="7"/>
      <c r="B861" s="7"/>
    </row>
    <row r="862" ht="15.75" customHeight="1">
      <c r="A862" s="7"/>
      <c r="B862" s="7"/>
    </row>
    <row r="863" ht="15.75" customHeight="1">
      <c r="A863" s="7"/>
      <c r="B863" s="7"/>
    </row>
    <row r="864" ht="15.75" customHeight="1">
      <c r="A864" s="7"/>
      <c r="B864" s="7"/>
    </row>
    <row r="865" ht="15.75" customHeight="1">
      <c r="A865" s="7"/>
      <c r="B865" s="7"/>
    </row>
    <row r="866" ht="15.75" customHeight="1">
      <c r="A866" s="7"/>
      <c r="B866" s="7"/>
    </row>
    <row r="867" ht="15.75" customHeight="1">
      <c r="A867" s="7"/>
      <c r="B867" s="7"/>
    </row>
    <row r="868" ht="15.75" customHeight="1">
      <c r="A868" s="7"/>
      <c r="B868" s="7"/>
    </row>
    <row r="869" ht="15.75" customHeight="1">
      <c r="A869" s="7"/>
      <c r="B869" s="7"/>
    </row>
    <row r="870" ht="15.75" customHeight="1">
      <c r="A870" s="7"/>
      <c r="B870" s="7"/>
    </row>
    <row r="871" ht="15.75" customHeight="1">
      <c r="A871" s="7"/>
      <c r="B871" s="7"/>
    </row>
    <row r="872" ht="15.75" customHeight="1">
      <c r="A872" s="7"/>
      <c r="B872" s="7"/>
    </row>
    <row r="873" ht="15.75" customHeight="1">
      <c r="A873" s="7"/>
      <c r="B873" s="7"/>
    </row>
    <row r="874" ht="15.75" customHeight="1">
      <c r="A874" s="7"/>
      <c r="B874" s="7"/>
    </row>
    <row r="875" ht="15.75" customHeight="1">
      <c r="A875" s="7"/>
      <c r="B875" s="7"/>
    </row>
    <row r="876" ht="15.75" customHeight="1">
      <c r="A876" s="7"/>
      <c r="B876" s="7"/>
    </row>
    <row r="877" ht="15.75" customHeight="1">
      <c r="A877" s="7"/>
      <c r="B877" s="7"/>
    </row>
    <row r="878" ht="15.75" customHeight="1">
      <c r="A878" s="7"/>
      <c r="B878" s="7"/>
    </row>
    <row r="879" ht="15.75" customHeight="1">
      <c r="A879" s="7"/>
      <c r="B879" s="7"/>
    </row>
    <row r="880" ht="15.75" customHeight="1">
      <c r="A880" s="7"/>
      <c r="B880" s="7"/>
    </row>
    <row r="881" ht="15.75" customHeight="1">
      <c r="A881" s="7"/>
      <c r="B881" s="7"/>
    </row>
    <row r="882" ht="15.75" customHeight="1">
      <c r="A882" s="7"/>
      <c r="B882" s="7"/>
    </row>
    <row r="883" ht="15.75" customHeight="1">
      <c r="A883" s="7"/>
      <c r="B883" s="7"/>
    </row>
    <row r="884" ht="15.75" customHeight="1">
      <c r="A884" s="7"/>
      <c r="B884" s="7"/>
    </row>
    <row r="885" ht="15.75" customHeight="1">
      <c r="A885" s="7"/>
      <c r="B885" s="7"/>
    </row>
    <row r="886" ht="15.75" customHeight="1">
      <c r="A886" s="7"/>
      <c r="B886" s="7"/>
    </row>
    <row r="887" ht="15.75" customHeight="1">
      <c r="A887" s="7"/>
      <c r="B887" s="7"/>
    </row>
    <row r="888" ht="15.75" customHeight="1">
      <c r="A888" s="7"/>
      <c r="B888" s="7"/>
    </row>
    <row r="889" ht="15.75" customHeight="1">
      <c r="A889" s="7"/>
      <c r="B889" s="7"/>
    </row>
    <row r="890" ht="15.75" customHeight="1">
      <c r="A890" s="7"/>
      <c r="B890" s="7"/>
    </row>
    <row r="891" ht="15.75" customHeight="1">
      <c r="A891" s="7"/>
      <c r="B891" s="7"/>
    </row>
    <row r="892" ht="15.75" customHeight="1">
      <c r="A892" s="7"/>
      <c r="B892" s="7"/>
    </row>
    <row r="893" ht="15.75" customHeight="1">
      <c r="A893" s="7"/>
      <c r="B893" s="7"/>
    </row>
    <row r="894" ht="15.75" customHeight="1">
      <c r="A894" s="7"/>
      <c r="B894" s="7"/>
    </row>
    <row r="895" ht="15.75" customHeight="1">
      <c r="A895" s="7"/>
      <c r="B895" s="7"/>
    </row>
    <row r="896" ht="15.75" customHeight="1">
      <c r="A896" s="7"/>
      <c r="B896" s="7"/>
    </row>
    <row r="897" ht="15.75" customHeight="1">
      <c r="A897" s="7"/>
      <c r="B897" s="7"/>
    </row>
    <row r="898" ht="15.75" customHeight="1">
      <c r="A898" s="7"/>
      <c r="B898" s="7"/>
    </row>
    <row r="899" ht="15.75" customHeight="1">
      <c r="A899" s="7"/>
      <c r="B899" s="7"/>
    </row>
    <row r="900" ht="15.75" customHeight="1">
      <c r="A900" s="7"/>
      <c r="B900" s="7"/>
    </row>
    <row r="901" ht="15.75" customHeight="1">
      <c r="A901" s="7"/>
      <c r="B901" s="7"/>
    </row>
    <row r="902" ht="15.75" customHeight="1">
      <c r="A902" s="7"/>
      <c r="B902" s="7"/>
    </row>
    <row r="903" ht="15.75" customHeight="1">
      <c r="A903" s="7"/>
      <c r="B903" s="7"/>
    </row>
    <row r="904" ht="15.75" customHeight="1">
      <c r="A904" s="7"/>
      <c r="B904" s="7"/>
    </row>
    <row r="905" ht="15.75" customHeight="1">
      <c r="A905" s="7"/>
      <c r="B905" s="7"/>
    </row>
    <row r="906" ht="15.75" customHeight="1">
      <c r="A906" s="7"/>
      <c r="B906" s="7"/>
    </row>
    <row r="907" ht="15.75" customHeight="1">
      <c r="A907" s="7"/>
      <c r="B907" s="7"/>
    </row>
    <row r="908" ht="15.75" customHeight="1">
      <c r="A908" s="7"/>
      <c r="B908" s="7"/>
    </row>
    <row r="909" ht="15.75" customHeight="1">
      <c r="A909" s="7"/>
      <c r="B909" s="7"/>
    </row>
    <row r="910" ht="15.75" customHeight="1">
      <c r="A910" s="7"/>
      <c r="B910" s="7"/>
    </row>
    <row r="911" ht="15.75" customHeight="1">
      <c r="A911" s="7"/>
      <c r="B911" s="7"/>
    </row>
    <row r="912" ht="15.75" customHeight="1">
      <c r="A912" s="7"/>
      <c r="B912" s="7"/>
    </row>
    <row r="913" ht="15.75" customHeight="1">
      <c r="A913" s="7"/>
      <c r="B913" s="7"/>
    </row>
    <row r="914" ht="15.75" customHeight="1">
      <c r="A914" s="7"/>
      <c r="B914" s="7"/>
    </row>
    <row r="915" ht="15.75" customHeight="1">
      <c r="A915" s="7"/>
      <c r="B915" s="7"/>
    </row>
    <row r="916" ht="15.75" customHeight="1">
      <c r="A916" s="7"/>
      <c r="B916" s="7"/>
    </row>
    <row r="917" ht="15.75" customHeight="1">
      <c r="A917" s="7"/>
      <c r="B917" s="7"/>
    </row>
    <row r="918" ht="15.75" customHeight="1">
      <c r="A918" s="7"/>
      <c r="B918" s="7"/>
    </row>
    <row r="919" ht="15.75" customHeight="1">
      <c r="A919" s="7"/>
      <c r="B919" s="7"/>
    </row>
    <row r="920" ht="15.75" customHeight="1">
      <c r="A920" s="7"/>
      <c r="B920" s="7"/>
    </row>
    <row r="921" ht="15.75" customHeight="1">
      <c r="A921" s="7"/>
      <c r="B921" s="7"/>
    </row>
    <row r="922" ht="15.75" customHeight="1">
      <c r="A922" s="7"/>
      <c r="B922" s="7"/>
    </row>
    <row r="923" ht="15.75" customHeight="1">
      <c r="A923" s="7"/>
      <c r="B923" s="7"/>
    </row>
    <row r="924" ht="15.75" customHeight="1">
      <c r="A924" s="7"/>
      <c r="B924" s="7"/>
    </row>
    <row r="925" ht="15.75" customHeight="1">
      <c r="A925" s="7"/>
      <c r="B925" s="7"/>
    </row>
    <row r="926" ht="15.75" customHeight="1">
      <c r="A926" s="7"/>
      <c r="B926" s="7"/>
    </row>
    <row r="927" ht="15.75" customHeight="1">
      <c r="A927" s="7"/>
      <c r="B927" s="7"/>
    </row>
    <row r="928" ht="15.75" customHeight="1">
      <c r="A928" s="7"/>
      <c r="B928" s="7"/>
    </row>
    <row r="929" ht="15.75" customHeight="1">
      <c r="A929" s="7"/>
      <c r="B929" s="7"/>
    </row>
    <row r="930" ht="15.75" customHeight="1">
      <c r="A930" s="7"/>
      <c r="B930" s="7"/>
    </row>
    <row r="931" ht="15.75" customHeight="1">
      <c r="A931" s="7"/>
      <c r="B931" s="7"/>
    </row>
    <row r="932" ht="15.75" customHeight="1">
      <c r="A932" s="7"/>
      <c r="B932" s="7"/>
    </row>
    <row r="933" ht="15.75" customHeight="1">
      <c r="A933" s="7"/>
      <c r="B933" s="7"/>
    </row>
    <row r="934" ht="15.75" customHeight="1">
      <c r="A934" s="7"/>
      <c r="B934" s="7"/>
    </row>
    <row r="935" ht="15.75" customHeight="1">
      <c r="A935" s="7"/>
      <c r="B935" s="7"/>
    </row>
    <row r="936" ht="15.75" customHeight="1">
      <c r="A936" s="7"/>
      <c r="B936" s="7"/>
    </row>
    <row r="937" ht="15.75" customHeight="1">
      <c r="A937" s="7"/>
      <c r="B937" s="7"/>
    </row>
    <row r="938" ht="15.75" customHeight="1">
      <c r="A938" s="7"/>
      <c r="B938" s="7"/>
    </row>
    <row r="939" ht="15.75" customHeight="1">
      <c r="A939" s="7"/>
      <c r="B939" s="7"/>
    </row>
    <row r="940" ht="15.75" customHeight="1">
      <c r="A940" s="7"/>
      <c r="B940" s="7"/>
    </row>
    <row r="941" ht="15.75" customHeight="1">
      <c r="A941" s="7"/>
      <c r="B941" s="7"/>
    </row>
    <row r="942" ht="15.75" customHeight="1">
      <c r="A942" s="7"/>
      <c r="B942" s="7"/>
    </row>
    <row r="943" ht="15.75" customHeight="1">
      <c r="A943" s="7"/>
      <c r="B943" s="7"/>
    </row>
    <row r="944" ht="15.75" customHeight="1">
      <c r="A944" s="7"/>
      <c r="B944" s="7"/>
    </row>
    <row r="945" ht="15.75" customHeight="1">
      <c r="A945" s="7"/>
      <c r="B945" s="7"/>
    </row>
    <row r="946" ht="15.75" customHeight="1">
      <c r="A946" s="7"/>
      <c r="B946" s="7"/>
    </row>
    <row r="947" ht="15.75" customHeight="1">
      <c r="A947" s="7"/>
      <c r="B947" s="7"/>
    </row>
    <row r="948" ht="15.75" customHeight="1">
      <c r="A948" s="7"/>
      <c r="B948" s="7"/>
    </row>
    <row r="949" ht="15.75" customHeight="1">
      <c r="A949" s="7"/>
      <c r="B949" s="7"/>
    </row>
    <row r="950" ht="15.75" customHeight="1">
      <c r="A950" s="7"/>
      <c r="B950" s="7"/>
    </row>
    <row r="951" ht="15.75" customHeight="1">
      <c r="A951" s="7"/>
      <c r="B951" s="7"/>
    </row>
    <row r="952" ht="15.75" customHeight="1">
      <c r="A952" s="7"/>
      <c r="B952" s="7"/>
    </row>
    <row r="953" ht="15.75" customHeight="1">
      <c r="A953" s="7"/>
      <c r="B953" s="7"/>
    </row>
    <row r="954" ht="15.75" customHeight="1">
      <c r="A954" s="7"/>
      <c r="B954" s="7"/>
    </row>
    <row r="955" ht="15.75" customHeight="1">
      <c r="A955" s="7"/>
      <c r="B955" s="7"/>
    </row>
    <row r="956" ht="15.75" customHeight="1">
      <c r="A956" s="7"/>
      <c r="B956" s="7"/>
    </row>
    <row r="957" ht="15.75" customHeight="1">
      <c r="A957" s="7"/>
      <c r="B957" s="7"/>
    </row>
    <row r="958" ht="15.75" customHeight="1">
      <c r="A958" s="7"/>
      <c r="B958" s="7"/>
    </row>
    <row r="959" ht="15.75" customHeight="1">
      <c r="A959" s="7"/>
      <c r="B959" s="7"/>
    </row>
    <row r="960" ht="15.75" customHeight="1">
      <c r="A960" s="7"/>
      <c r="B960" s="7"/>
    </row>
    <row r="961" ht="15.75" customHeight="1">
      <c r="A961" s="7"/>
      <c r="B961" s="7"/>
    </row>
    <row r="962" ht="15.75" customHeight="1">
      <c r="A962" s="7"/>
      <c r="B962" s="7"/>
    </row>
    <row r="963" ht="15.75" customHeight="1">
      <c r="A963" s="7"/>
      <c r="B963" s="7"/>
    </row>
    <row r="964" ht="15.75" customHeight="1">
      <c r="A964" s="7"/>
      <c r="B964" s="7"/>
    </row>
    <row r="965" ht="15.75" customHeight="1">
      <c r="A965" s="7"/>
      <c r="B965" s="7"/>
    </row>
    <row r="966" ht="15.75" customHeight="1">
      <c r="A966" s="7"/>
      <c r="B966" s="7"/>
    </row>
    <row r="967" ht="15.75" customHeight="1">
      <c r="A967" s="7"/>
      <c r="B967" s="7"/>
    </row>
    <row r="968" ht="15.75" customHeight="1">
      <c r="A968" s="7"/>
      <c r="B968" s="7"/>
    </row>
    <row r="969" ht="15.75" customHeight="1">
      <c r="A969" s="7"/>
      <c r="B969" s="7"/>
    </row>
    <row r="970" ht="15.75" customHeight="1">
      <c r="A970" s="7"/>
      <c r="B970" s="7"/>
    </row>
    <row r="971" ht="15.75" customHeight="1">
      <c r="A971" s="7"/>
      <c r="B971" s="7"/>
    </row>
    <row r="972" ht="15.75" customHeight="1">
      <c r="A972" s="7"/>
      <c r="B972" s="7"/>
    </row>
    <row r="973" ht="15.75" customHeight="1">
      <c r="A973" s="7"/>
      <c r="B973" s="7"/>
    </row>
    <row r="974" ht="15.75" customHeight="1">
      <c r="A974" s="7"/>
      <c r="B974" s="7"/>
    </row>
    <row r="975" ht="15.75" customHeight="1">
      <c r="A975" s="7"/>
      <c r="B975" s="7"/>
    </row>
    <row r="976" ht="15.75" customHeight="1">
      <c r="A976" s="7"/>
      <c r="B976" s="7"/>
    </row>
    <row r="977" ht="15.75" customHeight="1">
      <c r="A977" s="7"/>
      <c r="B977" s="7"/>
    </row>
    <row r="978" ht="15.75" customHeight="1">
      <c r="A978" s="7"/>
      <c r="B978" s="7"/>
    </row>
    <row r="979" ht="15.75" customHeight="1">
      <c r="A979" s="7"/>
      <c r="B979" s="7"/>
    </row>
    <row r="980" ht="15.75" customHeight="1">
      <c r="A980" s="7"/>
      <c r="B980" s="7"/>
    </row>
    <row r="981" ht="15.75" customHeight="1">
      <c r="A981" s="7"/>
      <c r="B981" s="7"/>
    </row>
    <row r="982" ht="15.75" customHeight="1">
      <c r="A982" s="7"/>
      <c r="B982" s="7"/>
    </row>
    <row r="983" ht="15.75" customHeight="1">
      <c r="A983" s="7"/>
      <c r="B983" s="7"/>
    </row>
    <row r="984" ht="15.75" customHeight="1">
      <c r="A984" s="7"/>
      <c r="B984" s="7"/>
    </row>
    <row r="985" ht="15.75" customHeight="1">
      <c r="A985" s="7"/>
      <c r="B985" s="7"/>
    </row>
    <row r="986" ht="15.75" customHeight="1">
      <c r="A986" s="7"/>
      <c r="B986" s="7"/>
    </row>
    <row r="987" ht="15.75" customHeight="1">
      <c r="A987" s="7"/>
      <c r="B987" s="7"/>
    </row>
    <row r="988" ht="15.75" customHeight="1">
      <c r="A988" s="7"/>
      <c r="B988" s="7"/>
    </row>
    <row r="989" ht="15.75" customHeight="1">
      <c r="A989" s="7"/>
      <c r="B989" s="7"/>
    </row>
    <row r="990" ht="15.75" customHeight="1">
      <c r="A990" s="7"/>
      <c r="B990" s="7"/>
    </row>
    <row r="991" ht="15.75" customHeight="1">
      <c r="A991" s="7"/>
      <c r="B991" s="7"/>
    </row>
    <row r="992" ht="15.75" customHeight="1">
      <c r="A992" s="7"/>
      <c r="B992" s="7"/>
    </row>
    <row r="993" ht="15.75" customHeight="1">
      <c r="A993" s="7"/>
      <c r="B993" s="7"/>
    </row>
    <row r="994" ht="15.75" customHeight="1">
      <c r="A994" s="7"/>
      <c r="B994" s="7"/>
    </row>
    <row r="995" ht="15.75" customHeight="1">
      <c r="A995" s="7"/>
      <c r="B995" s="7"/>
    </row>
    <row r="996" ht="15.75" customHeight="1">
      <c r="A996" s="7"/>
      <c r="B996" s="7"/>
    </row>
    <row r="997" ht="15.75" customHeight="1">
      <c r="A997" s="7"/>
      <c r="B997" s="7"/>
    </row>
    <row r="998" ht="15.75" customHeight="1">
      <c r="A998" s="7"/>
      <c r="B998" s="7"/>
    </row>
    <row r="999" ht="15.75" customHeight="1">
      <c r="A999" s="7"/>
      <c r="B999" s="7"/>
    </row>
    <row r="1000" ht="15.75" customHeight="1">
      <c r="A1000" s="7"/>
      <c r="B1000" s="7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4.0"/>
    <col customWidth="1" min="3" max="3" width="8.71"/>
    <col customWidth="1" min="4" max="4" width="78.0"/>
    <col customWidth="1" min="5" max="26" width="8.71"/>
  </cols>
  <sheetData>
    <row r="1" ht="15.75" customHeight="1">
      <c r="A1" s="60" t="s">
        <v>846</v>
      </c>
      <c r="B1" s="7"/>
      <c r="D1" s="7"/>
    </row>
    <row r="2" ht="15.0" customHeight="1">
      <c r="A2" s="69"/>
      <c r="B2" s="69"/>
      <c r="D2" s="70" t="s">
        <v>847</v>
      </c>
    </row>
    <row r="3" ht="15.0" customHeight="1">
      <c r="A3" s="63" t="s">
        <v>848</v>
      </c>
      <c r="B3" s="63" t="s">
        <v>849</v>
      </c>
      <c r="D3" s="69" t="s">
        <v>850</v>
      </c>
    </row>
    <row r="4" ht="15.0" customHeight="1">
      <c r="A4" s="69" t="s">
        <v>851</v>
      </c>
      <c r="B4" s="69">
        <f>COUNTA('Banco v2'!A2:A1000)</f>
        <v>41</v>
      </c>
      <c r="D4" s="69" t="s">
        <v>854</v>
      </c>
    </row>
    <row r="5" ht="15.0" customHeight="1">
      <c r="A5" s="69" t="s">
        <v>120</v>
      </c>
      <c r="B5" s="69">
        <f>COUNTIF('Banco v2'!B2:B1000,"1*")</f>
        <v>16</v>
      </c>
      <c r="D5" s="69" t="s">
        <v>855</v>
      </c>
    </row>
    <row r="6" ht="15.0" customHeight="1">
      <c r="A6" s="69" t="s">
        <v>138</v>
      </c>
      <c r="B6" s="69">
        <f>COUNTIF('Banco v2'!B2:B1000,"2*")</f>
        <v>15</v>
      </c>
      <c r="D6" s="69" t="s">
        <v>857</v>
      </c>
    </row>
    <row r="7" ht="15.0" customHeight="1">
      <c r="A7" s="69" t="s">
        <v>154</v>
      </c>
      <c r="B7" s="69">
        <f>COUNTIF('Banco v2'!B2:B1000,"3*")</f>
        <v>10</v>
      </c>
      <c r="D7" s="69" t="s">
        <v>858</v>
      </c>
    </row>
    <row r="8" ht="15.0" customHeight="1">
      <c r="A8" s="69" t="s">
        <v>859</v>
      </c>
      <c r="B8" s="69">
        <f>COUNTA('Banco v2'!D2:D1000)</f>
        <v>0</v>
      </c>
      <c r="D8" s="7"/>
    </row>
    <row r="9" ht="15.0" customHeight="1">
      <c r="A9" s="69"/>
      <c r="B9" s="69"/>
      <c r="D9" s="7"/>
    </row>
    <row r="10" ht="15.0" customHeight="1">
      <c r="A10" s="69" t="s">
        <v>860</v>
      </c>
      <c r="B10" s="69">
        <f>COUNTA('Parametros (long)'!A2:A1000)</f>
        <v>72</v>
      </c>
      <c r="D10" s="7"/>
    </row>
    <row r="11" ht="15.0" customHeight="1">
      <c r="A11" s="69" t="s">
        <v>862</v>
      </c>
      <c r="B11" s="69">
        <f>COUNT('Parametros (long)'!I2:I1000)</f>
        <v>45</v>
      </c>
      <c r="D11" s="7"/>
    </row>
    <row r="12" ht="15.0" customHeight="1">
      <c r="A12" s="69" t="s">
        <v>864</v>
      </c>
      <c r="B12" s="69">
        <f>COUNTA('Parametros (long)'!J2:J1000)</f>
        <v>44</v>
      </c>
      <c r="D12" s="7"/>
    </row>
    <row r="13" ht="15.0" customHeight="1">
      <c r="A13" s="69" t="s">
        <v>865</v>
      </c>
      <c r="B13" s="69">
        <f>COUNTA('Parametros (long)'!K2:K1000)</f>
        <v>4</v>
      </c>
      <c r="D13" s="7"/>
    </row>
    <row r="14" ht="15.0" customHeight="1">
      <c r="A14" s="69" t="s">
        <v>867</v>
      </c>
      <c r="B14" s="69">
        <f>COUNTA('Parametros (long)'!M2:M1000)</f>
        <v>2</v>
      </c>
      <c r="D14" s="7"/>
    </row>
    <row r="15" ht="15.0" customHeight="1">
      <c r="A15" s="69" t="s">
        <v>869</v>
      </c>
      <c r="B15" s="69">
        <f>COUNTIF('Parametros (long)'!Q2:Q1000,"sim")</f>
        <v>17</v>
      </c>
      <c r="D15" s="7"/>
    </row>
    <row r="16" ht="15.0" customHeight="1">
      <c r="A16" s="69"/>
      <c r="B16" s="69"/>
      <c r="D16" s="7"/>
    </row>
    <row r="17" ht="15.0" customHeight="1">
      <c r="A17" s="69" t="s">
        <v>870</v>
      </c>
      <c r="B17" s="69">
        <f>COUNTIF('Banco v2'!AH2:AH1000,"1*")</f>
        <v>8</v>
      </c>
      <c r="D17" s="7"/>
    </row>
    <row r="18" ht="15.0" customHeight="1">
      <c r="A18" s="69" t="s">
        <v>871</v>
      </c>
      <c r="B18" s="69">
        <f>COUNTIF('Banco v2'!AH2:AH1000,"2*")</f>
        <v>10</v>
      </c>
      <c r="D18" s="7"/>
    </row>
    <row r="19" ht="15.0" customHeight="1">
      <c r="A19" s="69" t="s">
        <v>872</v>
      </c>
      <c r="B19" s="69">
        <f>COUNTIF('Banco v2'!AH2:AH1000,"3*")</f>
        <v>7</v>
      </c>
      <c r="D19" s="7"/>
    </row>
    <row r="20" ht="15.0" customHeight="1">
      <c r="A20" s="69" t="s">
        <v>874</v>
      </c>
      <c r="B20" s="69">
        <f>COUNTIF('Banco v2'!AH2:AH1000,"4*")</f>
        <v>15</v>
      </c>
      <c r="D20" s="7"/>
    </row>
    <row r="21" ht="15.75" customHeight="1">
      <c r="A21" s="7"/>
      <c r="B21" s="7"/>
      <c r="D21" s="7"/>
    </row>
    <row r="22" ht="15.75" customHeight="1">
      <c r="A22" s="7"/>
      <c r="B22" s="7"/>
      <c r="D22" s="7"/>
    </row>
    <row r="23" ht="15.75" customHeight="1">
      <c r="A23" s="7"/>
      <c r="B23" s="7"/>
      <c r="D23" s="7"/>
    </row>
    <row r="24" ht="15.75" customHeight="1">
      <c r="A24" s="7"/>
      <c r="B24" s="7"/>
      <c r="D24" s="7"/>
    </row>
    <row r="25" ht="15.75" customHeight="1">
      <c r="A25" s="7"/>
      <c r="B25" s="7"/>
      <c r="D25" s="7"/>
    </row>
    <row r="26" ht="15.75" customHeight="1">
      <c r="A26" s="7"/>
      <c r="B26" s="7"/>
      <c r="D26" s="7"/>
    </row>
    <row r="27" ht="15.75" customHeight="1">
      <c r="A27" s="7"/>
      <c r="B27" s="7"/>
      <c r="D27" s="7"/>
    </row>
    <row r="28" ht="15.75" customHeight="1">
      <c r="A28" s="7"/>
      <c r="B28" s="7"/>
      <c r="D28" s="7"/>
    </row>
    <row r="29" ht="15.75" customHeight="1">
      <c r="A29" s="7"/>
      <c r="B29" s="7"/>
      <c r="D29" s="7"/>
    </row>
    <row r="30" ht="15.75" customHeight="1">
      <c r="A30" s="7"/>
      <c r="B30" s="7"/>
      <c r="D30" s="7"/>
    </row>
    <row r="31" ht="15.75" customHeight="1">
      <c r="A31" s="7"/>
      <c r="B31" s="7"/>
      <c r="D31" s="7"/>
    </row>
    <row r="32" ht="15.75" customHeight="1">
      <c r="A32" s="7"/>
      <c r="B32" s="7"/>
      <c r="D32" s="7"/>
    </row>
    <row r="33" ht="15.75" customHeight="1">
      <c r="A33" s="7"/>
      <c r="B33" s="7"/>
      <c r="D33" s="7"/>
    </row>
    <row r="34" ht="15.75" customHeight="1">
      <c r="A34" s="7"/>
      <c r="B34" s="7"/>
      <c r="D34" s="7"/>
    </row>
    <row r="35" ht="15.75" customHeight="1">
      <c r="A35" s="7"/>
      <c r="B35" s="7"/>
      <c r="D35" s="7"/>
    </row>
    <row r="36" ht="15.75" customHeight="1">
      <c r="A36" s="7"/>
      <c r="B36" s="7"/>
      <c r="D36" s="7"/>
    </row>
    <row r="37" ht="15.75" customHeight="1">
      <c r="A37" s="7"/>
      <c r="B37" s="7"/>
      <c r="D37" s="7"/>
    </row>
    <row r="38" ht="15.75" customHeight="1">
      <c r="A38" s="7"/>
      <c r="B38" s="7"/>
      <c r="D38" s="7"/>
    </row>
    <row r="39" ht="15.75" customHeight="1">
      <c r="A39" s="7"/>
      <c r="B39" s="7"/>
      <c r="D39" s="7"/>
    </row>
    <row r="40" ht="15.75" customHeight="1">
      <c r="A40" s="7"/>
      <c r="B40" s="7"/>
      <c r="D40" s="7"/>
    </row>
    <row r="41" ht="15.75" customHeight="1">
      <c r="A41" s="7"/>
      <c r="B41" s="7"/>
      <c r="D41" s="7"/>
    </row>
    <row r="42" ht="15.75" customHeight="1">
      <c r="A42" s="7"/>
      <c r="B42" s="7"/>
      <c r="D42" s="7"/>
    </row>
    <row r="43" ht="15.75" customHeight="1">
      <c r="A43" s="7"/>
      <c r="B43" s="7"/>
      <c r="D43" s="7"/>
    </row>
    <row r="44" ht="15.75" customHeight="1">
      <c r="A44" s="7"/>
      <c r="B44" s="7"/>
      <c r="D44" s="7"/>
    </row>
    <row r="45" ht="15.75" customHeight="1">
      <c r="A45" s="7"/>
      <c r="B45" s="7"/>
      <c r="D45" s="7"/>
    </row>
    <row r="46" ht="15.75" customHeight="1">
      <c r="A46" s="7"/>
      <c r="B46" s="7"/>
      <c r="D46" s="7"/>
    </row>
    <row r="47" ht="15.75" customHeight="1">
      <c r="A47" s="7"/>
      <c r="B47" s="7"/>
      <c r="D47" s="7"/>
    </row>
    <row r="48" ht="15.75" customHeight="1">
      <c r="A48" s="7"/>
      <c r="B48" s="7"/>
      <c r="D48" s="7"/>
    </row>
    <row r="49" ht="15.75" customHeight="1">
      <c r="A49" s="7"/>
      <c r="B49" s="7"/>
      <c r="D49" s="7"/>
    </row>
    <row r="50" ht="15.75" customHeight="1">
      <c r="A50" s="7"/>
      <c r="B50" s="7"/>
      <c r="D50" s="7"/>
    </row>
    <row r="51" ht="15.75" customHeight="1">
      <c r="A51" s="7"/>
      <c r="B51" s="7"/>
      <c r="D51" s="7"/>
    </row>
    <row r="52" ht="15.75" customHeight="1">
      <c r="A52" s="7"/>
      <c r="B52" s="7"/>
      <c r="D52" s="7"/>
    </row>
    <row r="53" ht="15.75" customHeight="1">
      <c r="A53" s="7"/>
      <c r="B53" s="7"/>
      <c r="D53" s="7"/>
    </row>
    <row r="54" ht="15.75" customHeight="1">
      <c r="A54" s="7"/>
      <c r="B54" s="7"/>
      <c r="D54" s="7"/>
    </row>
    <row r="55" ht="15.75" customHeight="1">
      <c r="A55" s="7"/>
      <c r="B55" s="7"/>
      <c r="D55" s="7"/>
    </row>
    <row r="56" ht="15.75" customHeight="1">
      <c r="A56" s="7"/>
      <c r="B56" s="7"/>
      <c r="D56" s="7"/>
    </row>
    <row r="57" ht="15.75" customHeight="1">
      <c r="A57" s="7"/>
      <c r="B57" s="7"/>
      <c r="D57" s="7"/>
    </row>
    <row r="58" ht="15.75" customHeight="1">
      <c r="A58" s="7"/>
      <c r="B58" s="7"/>
      <c r="D58" s="7"/>
    </row>
    <row r="59" ht="15.75" customHeight="1">
      <c r="A59" s="7"/>
      <c r="B59" s="7"/>
      <c r="D59" s="7"/>
    </row>
    <row r="60" ht="15.75" customHeight="1">
      <c r="A60" s="7"/>
      <c r="B60" s="7"/>
      <c r="D60" s="7"/>
    </row>
    <row r="61" ht="15.75" customHeight="1">
      <c r="A61" s="7"/>
      <c r="B61" s="7"/>
      <c r="D61" s="7"/>
    </row>
    <row r="62" ht="15.75" customHeight="1">
      <c r="A62" s="7"/>
      <c r="B62" s="7"/>
      <c r="D62" s="7"/>
    </row>
    <row r="63" ht="15.75" customHeight="1">
      <c r="A63" s="7"/>
      <c r="B63" s="7"/>
      <c r="D63" s="7"/>
    </row>
    <row r="64" ht="15.75" customHeight="1">
      <c r="A64" s="7"/>
      <c r="B64" s="7"/>
      <c r="D64" s="7"/>
    </row>
    <row r="65" ht="15.75" customHeight="1">
      <c r="A65" s="7"/>
      <c r="B65" s="7"/>
      <c r="D65" s="7"/>
    </row>
    <row r="66" ht="15.75" customHeight="1">
      <c r="A66" s="7"/>
      <c r="B66" s="7"/>
      <c r="D66" s="7"/>
    </row>
    <row r="67" ht="15.75" customHeight="1">
      <c r="A67" s="7"/>
      <c r="B67" s="7"/>
      <c r="D67" s="7"/>
    </row>
    <row r="68" ht="15.75" customHeight="1">
      <c r="A68" s="7"/>
      <c r="B68" s="7"/>
      <c r="D68" s="7"/>
    </row>
    <row r="69" ht="15.75" customHeight="1">
      <c r="A69" s="7"/>
      <c r="B69" s="7"/>
      <c r="D69" s="7"/>
    </row>
    <row r="70" ht="15.75" customHeight="1">
      <c r="A70" s="7"/>
      <c r="B70" s="7"/>
      <c r="D70" s="7"/>
    </row>
    <row r="71" ht="15.75" customHeight="1">
      <c r="A71" s="7"/>
      <c r="B71" s="7"/>
      <c r="D71" s="7"/>
    </row>
    <row r="72" ht="15.75" customHeight="1">
      <c r="A72" s="7"/>
      <c r="B72" s="7"/>
      <c r="D72" s="7"/>
    </row>
    <row r="73" ht="15.75" customHeight="1">
      <c r="A73" s="7"/>
      <c r="B73" s="7"/>
      <c r="D73" s="7"/>
    </row>
    <row r="74" ht="15.75" customHeight="1">
      <c r="A74" s="7"/>
      <c r="B74" s="7"/>
      <c r="D74" s="7"/>
    </row>
    <row r="75" ht="15.75" customHeight="1">
      <c r="A75" s="7"/>
      <c r="B75" s="7"/>
      <c r="D75" s="7"/>
    </row>
    <row r="76" ht="15.75" customHeight="1">
      <c r="A76" s="7"/>
      <c r="B76" s="7"/>
      <c r="D76" s="7"/>
    </row>
    <row r="77" ht="15.75" customHeight="1">
      <c r="A77" s="7"/>
      <c r="B77" s="7"/>
      <c r="D77" s="7"/>
    </row>
    <row r="78" ht="15.75" customHeight="1">
      <c r="A78" s="7"/>
      <c r="B78" s="7"/>
      <c r="D78" s="7"/>
    </row>
    <row r="79" ht="15.75" customHeight="1">
      <c r="A79" s="7"/>
      <c r="B79" s="7"/>
      <c r="D79" s="7"/>
    </row>
    <row r="80" ht="15.75" customHeight="1">
      <c r="A80" s="7"/>
      <c r="B80" s="7"/>
      <c r="D80" s="7"/>
    </row>
    <row r="81" ht="15.75" customHeight="1">
      <c r="A81" s="7"/>
      <c r="B81" s="7"/>
      <c r="D81" s="7"/>
    </row>
    <row r="82" ht="15.75" customHeight="1">
      <c r="A82" s="7"/>
      <c r="B82" s="7"/>
      <c r="D82" s="7"/>
    </row>
    <row r="83" ht="15.75" customHeight="1">
      <c r="A83" s="7"/>
      <c r="B83" s="7"/>
      <c r="D83" s="7"/>
    </row>
    <row r="84" ht="15.75" customHeight="1">
      <c r="A84" s="7"/>
      <c r="B84" s="7"/>
      <c r="D84" s="7"/>
    </row>
    <row r="85" ht="15.75" customHeight="1">
      <c r="A85" s="7"/>
      <c r="B85" s="7"/>
      <c r="D85" s="7"/>
    </row>
    <row r="86" ht="15.75" customHeight="1">
      <c r="A86" s="7"/>
      <c r="B86" s="7"/>
      <c r="D86" s="7"/>
    </row>
    <row r="87" ht="15.75" customHeight="1">
      <c r="A87" s="7"/>
      <c r="B87" s="7"/>
      <c r="D87" s="7"/>
    </row>
    <row r="88" ht="15.75" customHeight="1">
      <c r="A88" s="7"/>
      <c r="B88" s="7"/>
      <c r="D88" s="7"/>
    </row>
    <row r="89" ht="15.75" customHeight="1">
      <c r="A89" s="7"/>
      <c r="B89" s="7"/>
      <c r="D89" s="7"/>
    </row>
    <row r="90" ht="15.75" customHeight="1">
      <c r="A90" s="7"/>
      <c r="B90" s="7"/>
      <c r="D90" s="7"/>
    </row>
    <row r="91" ht="15.75" customHeight="1">
      <c r="A91" s="7"/>
      <c r="B91" s="7"/>
      <c r="D91" s="7"/>
    </row>
    <row r="92" ht="15.75" customHeight="1">
      <c r="A92" s="7"/>
      <c r="B92" s="7"/>
      <c r="D92" s="7"/>
    </row>
    <row r="93" ht="15.75" customHeight="1">
      <c r="A93" s="7"/>
      <c r="B93" s="7"/>
      <c r="D93" s="7"/>
    </row>
    <row r="94" ht="15.75" customHeight="1">
      <c r="A94" s="7"/>
      <c r="B94" s="7"/>
      <c r="D94" s="7"/>
    </row>
    <row r="95" ht="15.75" customHeight="1">
      <c r="A95" s="7"/>
      <c r="B95" s="7"/>
      <c r="D95" s="7"/>
    </row>
    <row r="96" ht="15.75" customHeight="1">
      <c r="A96" s="7"/>
      <c r="B96" s="7"/>
      <c r="D96" s="7"/>
    </row>
    <row r="97" ht="15.75" customHeight="1">
      <c r="A97" s="7"/>
      <c r="B97" s="7"/>
      <c r="D97" s="7"/>
    </row>
    <row r="98" ht="15.75" customHeight="1">
      <c r="A98" s="7"/>
      <c r="B98" s="7"/>
      <c r="D98" s="7"/>
    </row>
    <row r="99" ht="15.75" customHeight="1">
      <c r="A99" s="7"/>
      <c r="B99" s="7"/>
      <c r="D99" s="7"/>
    </row>
    <row r="100" ht="15.75" customHeight="1">
      <c r="A100" s="7"/>
      <c r="B100" s="7"/>
      <c r="D100" s="7"/>
    </row>
    <row r="101" ht="15.75" customHeight="1">
      <c r="A101" s="7"/>
      <c r="B101" s="7"/>
      <c r="D101" s="7"/>
    </row>
    <row r="102" ht="15.75" customHeight="1">
      <c r="A102" s="7"/>
      <c r="B102" s="7"/>
      <c r="D102" s="7"/>
    </row>
    <row r="103" ht="15.75" customHeight="1">
      <c r="A103" s="7"/>
      <c r="B103" s="7"/>
      <c r="D103" s="7"/>
    </row>
    <row r="104" ht="15.75" customHeight="1">
      <c r="A104" s="7"/>
      <c r="B104" s="7"/>
      <c r="D104" s="7"/>
    </row>
    <row r="105" ht="15.75" customHeight="1">
      <c r="A105" s="7"/>
      <c r="B105" s="7"/>
      <c r="D105" s="7"/>
    </row>
    <row r="106" ht="15.75" customHeight="1">
      <c r="A106" s="7"/>
      <c r="B106" s="7"/>
      <c r="D106" s="7"/>
    </row>
    <row r="107" ht="15.75" customHeight="1">
      <c r="A107" s="7"/>
      <c r="B107" s="7"/>
      <c r="D107" s="7"/>
    </row>
    <row r="108" ht="15.75" customHeight="1">
      <c r="A108" s="7"/>
      <c r="B108" s="7"/>
      <c r="D108" s="7"/>
    </row>
    <row r="109" ht="15.75" customHeight="1">
      <c r="A109" s="7"/>
      <c r="B109" s="7"/>
      <c r="D109" s="7"/>
    </row>
    <row r="110" ht="15.75" customHeight="1">
      <c r="A110" s="7"/>
      <c r="B110" s="7"/>
      <c r="D110" s="7"/>
    </row>
    <row r="111" ht="15.75" customHeight="1">
      <c r="A111" s="7"/>
      <c r="B111" s="7"/>
      <c r="D111" s="7"/>
    </row>
    <row r="112" ht="15.75" customHeight="1">
      <c r="A112" s="7"/>
      <c r="B112" s="7"/>
      <c r="D112" s="7"/>
    </row>
    <row r="113" ht="15.75" customHeight="1">
      <c r="A113" s="7"/>
      <c r="B113" s="7"/>
      <c r="D113" s="7"/>
    </row>
    <row r="114" ht="15.75" customHeight="1">
      <c r="A114" s="7"/>
      <c r="B114" s="7"/>
      <c r="D114" s="7"/>
    </row>
    <row r="115" ht="15.75" customHeight="1">
      <c r="A115" s="7"/>
      <c r="B115" s="7"/>
      <c r="D115" s="7"/>
    </row>
    <row r="116" ht="15.75" customHeight="1">
      <c r="A116" s="7"/>
      <c r="B116" s="7"/>
      <c r="D116" s="7"/>
    </row>
    <row r="117" ht="15.75" customHeight="1">
      <c r="A117" s="7"/>
      <c r="B117" s="7"/>
      <c r="D117" s="7"/>
    </row>
    <row r="118" ht="15.75" customHeight="1">
      <c r="A118" s="7"/>
      <c r="B118" s="7"/>
      <c r="D118" s="7"/>
    </row>
    <row r="119" ht="15.75" customHeight="1">
      <c r="A119" s="7"/>
      <c r="B119" s="7"/>
      <c r="D119" s="7"/>
    </row>
    <row r="120" ht="15.75" customHeight="1">
      <c r="A120" s="7"/>
      <c r="B120" s="7"/>
      <c r="D120" s="7"/>
    </row>
    <row r="121" ht="15.75" customHeight="1">
      <c r="A121" s="7"/>
      <c r="B121" s="7"/>
      <c r="D121" s="7"/>
    </row>
    <row r="122" ht="15.75" customHeight="1">
      <c r="A122" s="7"/>
      <c r="B122" s="7"/>
      <c r="D122" s="7"/>
    </row>
    <row r="123" ht="15.75" customHeight="1">
      <c r="A123" s="7"/>
      <c r="B123" s="7"/>
      <c r="D123" s="7"/>
    </row>
    <row r="124" ht="15.75" customHeight="1">
      <c r="A124" s="7"/>
      <c r="B124" s="7"/>
      <c r="D124" s="7"/>
    </row>
    <row r="125" ht="15.75" customHeight="1">
      <c r="A125" s="7"/>
      <c r="B125" s="7"/>
      <c r="D125" s="7"/>
    </row>
    <row r="126" ht="15.75" customHeight="1">
      <c r="A126" s="7"/>
      <c r="B126" s="7"/>
      <c r="D126" s="7"/>
    </row>
    <row r="127" ht="15.75" customHeight="1">
      <c r="A127" s="7"/>
      <c r="B127" s="7"/>
      <c r="D127" s="7"/>
    </row>
    <row r="128" ht="15.75" customHeight="1">
      <c r="A128" s="7"/>
      <c r="B128" s="7"/>
      <c r="D128" s="7"/>
    </row>
    <row r="129" ht="15.75" customHeight="1">
      <c r="A129" s="7"/>
      <c r="B129" s="7"/>
      <c r="D129" s="7"/>
    </row>
    <row r="130" ht="15.75" customHeight="1">
      <c r="A130" s="7"/>
      <c r="B130" s="7"/>
      <c r="D130" s="7"/>
    </row>
    <row r="131" ht="15.75" customHeight="1">
      <c r="A131" s="7"/>
      <c r="B131" s="7"/>
      <c r="D131" s="7"/>
    </row>
    <row r="132" ht="15.75" customHeight="1">
      <c r="A132" s="7"/>
      <c r="B132" s="7"/>
      <c r="D132" s="7"/>
    </row>
    <row r="133" ht="15.75" customHeight="1">
      <c r="A133" s="7"/>
      <c r="B133" s="7"/>
      <c r="D133" s="7"/>
    </row>
    <row r="134" ht="15.75" customHeight="1">
      <c r="A134" s="7"/>
      <c r="B134" s="7"/>
      <c r="D134" s="7"/>
    </row>
    <row r="135" ht="15.75" customHeight="1">
      <c r="A135" s="7"/>
      <c r="B135" s="7"/>
      <c r="D135" s="7"/>
    </row>
    <row r="136" ht="15.75" customHeight="1">
      <c r="A136" s="7"/>
      <c r="B136" s="7"/>
      <c r="D136" s="7"/>
    </row>
    <row r="137" ht="15.75" customHeight="1">
      <c r="A137" s="7"/>
      <c r="B137" s="7"/>
      <c r="D137" s="7"/>
    </row>
    <row r="138" ht="15.75" customHeight="1">
      <c r="A138" s="7"/>
      <c r="B138" s="7"/>
      <c r="D138" s="7"/>
    </row>
    <row r="139" ht="15.75" customHeight="1">
      <c r="A139" s="7"/>
      <c r="B139" s="7"/>
      <c r="D139" s="7"/>
    </row>
    <row r="140" ht="15.75" customHeight="1">
      <c r="A140" s="7"/>
      <c r="B140" s="7"/>
      <c r="D140" s="7"/>
    </row>
    <row r="141" ht="15.75" customHeight="1">
      <c r="A141" s="7"/>
      <c r="B141" s="7"/>
      <c r="D141" s="7"/>
    </row>
    <row r="142" ht="15.75" customHeight="1">
      <c r="A142" s="7"/>
      <c r="B142" s="7"/>
      <c r="D142" s="7"/>
    </row>
    <row r="143" ht="15.75" customHeight="1">
      <c r="A143" s="7"/>
      <c r="B143" s="7"/>
      <c r="D143" s="7"/>
    </row>
    <row r="144" ht="15.75" customHeight="1">
      <c r="A144" s="7"/>
      <c r="B144" s="7"/>
      <c r="D144" s="7"/>
    </row>
    <row r="145" ht="15.75" customHeight="1">
      <c r="A145" s="7"/>
      <c r="B145" s="7"/>
      <c r="D145" s="7"/>
    </row>
    <row r="146" ht="15.75" customHeight="1">
      <c r="A146" s="7"/>
      <c r="B146" s="7"/>
      <c r="D146" s="7"/>
    </row>
    <row r="147" ht="15.75" customHeight="1">
      <c r="A147" s="7"/>
      <c r="B147" s="7"/>
      <c r="D147" s="7"/>
    </row>
    <row r="148" ht="15.75" customHeight="1">
      <c r="A148" s="7"/>
      <c r="B148" s="7"/>
      <c r="D148" s="7"/>
    </row>
    <row r="149" ht="15.75" customHeight="1">
      <c r="A149" s="7"/>
      <c r="B149" s="7"/>
      <c r="D149" s="7"/>
    </row>
    <row r="150" ht="15.75" customHeight="1">
      <c r="A150" s="7"/>
      <c r="B150" s="7"/>
      <c r="D150" s="7"/>
    </row>
    <row r="151" ht="15.75" customHeight="1">
      <c r="A151" s="7"/>
      <c r="B151" s="7"/>
      <c r="D151" s="7"/>
    </row>
    <row r="152" ht="15.75" customHeight="1">
      <c r="A152" s="7"/>
      <c r="B152" s="7"/>
      <c r="D152" s="7"/>
    </row>
    <row r="153" ht="15.75" customHeight="1">
      <c r="A153" s="7"/>
      <c r="B153" s="7"/>
      <c r="D153" s="7"/>
    </row>
    <row r="154" ht="15.75" customHeight="1">
      <c r="A154" s="7"/>
      <c r="B154" s="7"/>
      <c r="D154" s="7"/>
    </row>
    <row r="155" ht="15.75" customHeight="1">
      <c r="A155" s="7"/>
      <c r="B155" s="7"/>
      <c r="D155" s="7"/>
    </row>
    <row r="156" ht="15.75" customHeight="1">
      <c r="A156" s="7"/>
      <c r="B156" s="7"/>
      <c r="D156" s="7"/>
    </row>
    <row r="157" ht="15.75" customHeight="1">
      <c r="A157" s="7"/>
      <c r="B157" s="7"/>
      <c r="D157" s="7"/>
    </row>
    <row r="158" ht="15.75" customHeight="1">
      <c r="A158" s="7"/>
      <c r="B158" s="7"/>
      <c r="D158" s="7"/>
    </row>
    <row r="159" ht="15.75" customHeight="1">
      <c r="A159" s="7"/>
      <c r="B159" s="7"/>
      <c r="D159" s="7"/>
    </row>
    <row r="160" ht="15.75" customHeight="1">
      <c r="A160" s="7"/>
      <c r="B160" s="7"/>
      <c r="D160" s="7"/>
    </row>
    <row r="161" ht="15.75" customHeight="1">
      <c r="A161" s="7"/>
      <c r="B161" s="7"/>
      <c r="D161" s="7"/>
    </row>
    <row r="162" ht="15.75" customHeight="1">
      <c r="A162" s="7"/>
      <c r="B162" s="7"/>
      <c r="D162" s="7"/>
    </row>
    <row r="163" ht="15.75" customHeight="1">
      <c r="A163" s="7"/>
      <c r="B163" s="7"/>
      <c r="D163" s="7"/>
    </row>
    <row r="164" ht="15.75" customHeight="1">
      <c r="A164" s="7"/>
      <c r="B164" s="7"/>
      <c r="D164" s="7"/>
    </row>
    <row r="165" ht="15.75" customHeight="1">
      <c r="A165" s="7"/>
      <c r="B165" s="7"/>
      <c r="D165" s="7"/>
    </row>
    <row r="166" ht="15.75" customHeight="1">
      <c r="A166" s="7"/>
      <c r="B166" s="7"/>
      <c r="D166" s="7"/>
    </row>
    <row r="167" ht="15.75" customHeight="1">
      <c r="A167" s="7"/>
      <c r="B167" s="7"/>
      <c r="D167" s="7"/>
    </row>
    <row r="168" ht="15.75" customHeight="1">
      <c r="A168" s="7"/>
      <c r="B168" s="7"/>
      <c r="D168" s="7"/>
    </row>
    <row r="169" ht="15.75" customHeight="1">
      <c r="A169" s="7"/>
      <c r="B169" s="7"/>
      <c r="D169" s="7"/>
    </row>
    <row r="170" ht="15.75" customHeight="1">
      <c r="A170" s="7"/>
      <c r="B170" s="7"/>
      <c r="D170" s="7"/>
    </row>
    <row r="171" ht="15.75" customHeight="1">
      <c r="A171" s="7"/>
      <c r="B171" s="7"/>
      <c r="D171" s="7"/>
    </row>
    <row r="172" ht="15.75" customHeight="1">
      <c r="A172" s="7"/>
      <c r="B172" s="7"/>
      <c r="D172" s="7"/>
    </row>
    <row r="173" ht="15.75" customHeight="1">
      <c r="A173" s="7"/>
      <c r="B173" s="7"/>
      <c r="D173" s="7"/>
    </row>
    <row r="174" ht="15.75" customHeight="1">
      <c r="A174" s="7"/>
      <c r="B174" s="7"/>
      <c r="D174" s="7"/>
    </row>
    <row r="175" ht="15.75" customHeight="1">
      <c r="A175" s="7"/>
      <c r="B175" s="7"/>
      <c r="D175" s="7"/>
    </row>
    <row r="176" ht="15.75" customHeight="1">
      <c r="A176" s="7"/>
      <c r="B176" s="7"/>
      <c r="D176" s="7"/>
    </row>
    <row r="177" ht="15.75" customHeight="1">
      <c r="A177" s="7"/>
      <c r="B177" s="7"/>
      <c r="D177" s="7"/>
    </row>
    <row r="178" ht="15.75" customHeight="1">
      <c r="A178" s="7"/>
      <c r="B178" s="7"/>
      <c r="D178" s="7"/>
    </row>
    <row r="179" ht="15.75" customHeight="1">
      <c r="A179" s="7"/>
      <c r="B179" s="7"/>
      <c r="D179" s="7"/>
    </row>
    <row r="180" ht="15.75" customHeight="1">
      <c r="A180" s="7"/>
      <c r="B180" s="7"/>
      <c r="D180" s="7"/>
    </row>
    <row r="181" ht="15.75" customHeight="1">
      <c r="A181" s="7"/>
      <c r="B181" s="7"/>
      <c r="D181" s="7"/>
    </row>
    <row r="182" ht="15.75" customHeight="1">
      <c r="A182" s="7"/>
      <c r="B182" s="7"/>
      <c r="D182" s="7"/>
    </row>
    <row r="183" ht="15.75" customHeight="1">
      <c r="A183" s="7"/>
      <c r="B183" s="7"/>
      <c r="D183" s="7"/>
    </row>
    <row r="184" ht="15.75" customHeight="1">
      <c r="A184" s="7"/>
      <c r="B184" s="7"/>
      <c r="D184" s="7"/>
    </row>
    <row r="185" ht="15.75" customHeight="1">
      <c r="A185" s="7"/>
      <c r="B185" s="7"/>
      <c r="D185" s="7"/>
    </row>
    <row r="186" ht="15.75" customHeight="1">
      <c r="A186" s="7"/>
      <c r="B186" s="7"/>
      <c r="D186" s="7"/>
    </row>
    <row r="187" ht="15.75" customHeight="1">
      <c r="A187" s="7"/>
      <c r="B187" s="7"/>
      <c r="D187" s="7"/>
    </row>
    <row r="188" ht="15.75" customHeight="1">
      <c r="A188" s="7"/>
      <c r="B188" s="7"/>
      <c r="D188" s="7"/>
    </row>
    <row r="189" ht="15.75" customHeight="1">
      <c r="A189" s="7"/>
      <c r="B189" s="7"/>
      <c r="D189" s="7"/>
    </row>
    <row r="190" ht="15.75" customHeight="1">
      <c r="A190" s="7"/>
      <c r="B190" s="7"/>
      <c r="D190" s="7"/>
    </row>
    <row r="191" ht="15.75" customHeight="1">
      <c r="A191" s="7"/>
      <c r="B191" s="7"/>
      <c r="D191" s="7"/>
    </row>
    <row r="192" ht="15.75" customHeight="1">
      <c r="A192" s="7"/>
      <c r="B192" s="7"/>
      <c r="D192" s="7"/>
    </row>
    <row r="193" ht="15.75" customHeight="1">
      <c r="A193" s="7"/>
      <c r="B193" s="7"/>
      <c r="D193" s="7"/>
    </row>
    <row r="194" ht="15.75" customHeight="1">
      <c r="A194" s="7"/>
      <c r="B194" s="7"/>
      <c r="D194" s="7"/>
    </row>
    <row r="195" ht="15.75" customHeight="1">
      <c r="A195" s="7"/>
      <c r="B195" s="7"/>
      <c r="D195" s="7"/>
    </row>
    <row r="196" ht="15.75" customHeight="1">
      <c r="A196" s="7"/>
      <c r="B196" s="7"/>
      <c r="D196" s="7"/>
    </row>
    <row r="197" ht="15.75" customHeight="1">
      <c r="A197" s="7"/>
      <c r="B197" s="7"/>
      <c r="D197" s="7"/>
    </row>
    <row r="198" ht="15.75" customHeight="1">
      <c r="A198" s="7"/>
      <c r="B198" s="7"/>
      <c r="D198" s="7"/>
    </row>
    <row r="199" ht="15.75" customHeight="1">
      <c r="A199" s="7"/>
      <c r="B199" s="7"/>
      <c r="D199" s="7"/>
    </row>
    <row r="200" ht="15.75" customHeight="1">
      <c r="A200" s="7"/>
      <c r="B200" s="7"/>
      <c r="D200" s="7"/>
    </row>
    <row r="201" ht="15.75" customHeight="1">
      <c r="A201" s="7"/>
      <c r="B201" s="7"/>
      <c r="D201" s="7"/>
    </row>
    <row r="202" ht="15.75" customHeight="1">
      <c r="A202" s="7"/>
      <c r="B202" s="7"/>
      <c r="D202" s="7"/>
    </row>
    <row r="203" ht="15.75" customHeight="1">
      <c r="A203" s="7"/>
      <c r="B203" s="7"/>
      <c r="D203" s="7"/>
    </row>
    <row r="204" ht="15.75" customHeight="1">
      <c r="A204" s="7"/>
      <c r="B204" s="7"/>
      <c r="D204" s="7"/>
    </row>
    <row r="205" ht="15.75" customHeight="1">
      <c r="A205" s="7"/>
      <c r="B205" s="7"/>
      <c r="D205" s="7"/>
    </row>
    <row r="206" ht="15.75" customHeight="1">
      <c r="A206" s="7"/>
      <c r="B206" s="7"/>
      <c r="D206" s="7"/>
    </row>
    <row r="207" ht="15.75" customHeight="1">
      <c r="A207" s="7"/>
      <c r="B207" s="7"/>
      <c r="D207" s="7"/>
    </row>
    <row r="208" ht="15.75" customHeight="1">
      <c r="A208" s="7"/>
      <c r="B208" s="7"/>
      <c r="D208" s="7"/>
    </row>
    <row r="209" ht="15.75" customHeight="1">
      <c r="A209" s="7"/>
      <c r="B209" s="7"/>
      <c r="D209" s="7"/>
    </row>
    <row r="210" ht="15.75" customHeight="1">
      <c r="A210" s="7"/>
      <c r="B210" s="7"/>
      <c r="D210" s="7"/>
    </row>
    <row r="211" ht="15.75" customHeight="1">
      <c r="A211" s="7"/>
      <c r="B211" s="7"/>
      <c r="D211" s="7"/>
    </row>
    <row r="212" ht="15.75" customHeight="1">
      <c r="A212" s="7"/>
      <c r="B212" s="7"/>
      <c r="D212" s="7"/>
    </row>
    <row r="213" ht="15.75" customHeight="1">
      <c r="A213" s="7"/>
      <c r="B213" s="7"/>
      <c r="D213" s="7"/>
    </row>
    <row r="214" ht="15.75" customHeight="1">
      <c r="A214" s="7"/>
      <c r="B214" s="7"/>
      <c r="D214" s="7"/>
    </row>
    <row r="215" ht="15.75" customHeight="1">
      <c r="A215" s="7"/>
      <c r="B215" s="7"/>
      <c r="D215" s="7"/>
    </row>
    <row r="216" ht="15.75" customHeight="1">
      <c r="A216" s="7"/>
      <c r="B216" s="7"/>
      <c r="D216" s="7"/>
    </row>
    <row r="217" ht="15.75" customHeight="1">
      <c r="A217" s="7"/>
      <c r="B217" s="7"/>
      <c r="D217" s="7"/>
    </row>
    <row r="218" ht="15.75" customHeight="1">
      <c r="A218" s="7"/>
      <c r="B218" s="7"/>
      <c r="D218" s="7"/>
    </row>
    <row r="219" ht="15.75" customHeight="1">
      <c r="A219" s="7"/>
      <c r="B219" s="7"/>
      <c r="D219" s="7"/>
    </row>
    <row r="220" ht="15.75" customHeight="1">
      <c r="A220" s="7"/>
      <c r="B220" s="7"/>
      <c r="D220" s="7"/>
    </row>
    <row r="221" ht="15.75" customHeight="1">
      <c r="A221" s="7"/>
      <c r="B221" s="7"/>
      <c r="D221" s="7"/>
    </row>
    <row r="222" ht="15.75" customHeight="1">
      <c r="A222" s="7"/>
      <c r="B222" s="7"/>
      <c r="D222" s="7"/>
    </row>
    <row r="223" ht="15.75" customHeight="1">
      <c r="A223" s="7"/>
      <c r="B223" s="7"/>
      <c r="D223" s="7"/>
    </row>
    <row r="224" ht="15.75" customHeight="1">
      <c r="A224" s="7"/>
      <c r="B224" s="7"/>
      <c r="D224" s="7"/>
    </row>
    <row r="225" ht="15.75" customHeight="1">
      <c r="A225" s="7"/>
      <c r="B225" s="7"/>
      <c r="D225" s="7"/>
    </row>
    <row r="226" ht="15.75" customHeight="1">
      <c r="A226" s="7"/>
      <c r="B226" s="7"/>
      <c r="D226" s="7"/>
    </row>
    <row r="227" ht="15.75" customHeight="1">
      <c r="A227" s="7"/>
      <c r="B227" s="7"/>
      <c r="D227" s="7"/>
    </row>
    <row r="228" ht="15.75" customHeight="1">
      <c r="A228" s="7"/>
      <c r="B228" s="7"/>
      <c r="D228" s="7"/>
    </row>
    <row r="229" ht="15.75" customHeight="1">
      <c r="A229" s="7"/>
      <c r="B229" s="7"/>
      <c r="D229" s="7"/>
    </row>
    <row r="230" ht="15.75" customHeight="1">
      <c r="A230" s="7"/>
      <c r="B230" s="7"/>
      <c r="D230" s="7"/>
    </row>
    <row r="231" ht="15.75" customHeight="1">
      <c r="A231" s="7"/>
      <c r="B231" s="7"/>
      <c r="D231" s="7"/>
    </row>
    <row r="232" ht="15.75" customHeight="1">
      <c r="A232" s="7"/>
      <c r="B232" s="7"/>
      <c r="D232" s="7"/>
    </row>
    <row r="233" ht="15.75" customHeight="1">
      <c r="A233" s="7"/>
      <c r="B233" s="7"/>
      <c r="D233" s="7"/>
    </row>
    <row r="234" ht="15.75" customHeight="1">
      <c r="A234" s="7"/>
      <c r="B234" s="7"/>
      <c r="D234" s="7"/>
    </row>
    <row r="235" ht="15.75" customHeight="1">
      <c r="A235" s="7"/>
      <c r="B235" s="7"/>
      <c r="D235" s="7"/>
    </row>
    <row r="236" ht="15.75" customHeight="1">
      <c r="A236" s="7"/>
      <c r="B236" s="7"/>
      <c r="D236" s="7"/>
    </row>
    <row r="237" ht="15.75" customHeight="1">
      <c r="A237" s="7"/>
      <c r="B237" s="7"/>
      <c r="D237" s="7"/>
    </row>
    <row r="238" ht="15.75" customHeight="1">
      <c r="A238" s="7"/>
      <c r="B238" s="7"/>
      <c r="D238" s="7"/>
    </row>
    <row r="239" ht="15.75" customHeight="1">
      <c r="A239" s="7"/>
      <c r="B239" s="7"/>
      <c r="D239" s="7"/>
    </row>
    <row r="240" ht="15.75" customHeight="1">
      <c r="A240" s="7"/>
      <c r="B240" s="7"/>
      <c r="D240" s="7"/>
    </row>
    <row r="241" ht="15.75" customHeight="1">
      <c r="A241" s="7"/>
      <c r="B241" s="7"/>
      <c r="D241" s="7"/>
    </row>
    <row r="242" ht="15.75" customHeight="1">
      <c r="A242" s="7"/>
      <c r="B242" s="7"/>
      <c r="D242" s="7"/>
    </row>
    <row r="243" ht="15.75" customHeight="1">
      <c r="A243" s="7"/>
      <c r="B243" s="7"/>
      <c r="D243" s="7"/>
    </row>
    <row r="244" ht="15.75" customHeight="1">
      <c r="A244" s="7"/>
      <c r="B244" s="7"/>
      <c r="D244" s="7"/>
    </row>
    <row r="245" ht="15.75" customHeight="1">
      <c r="A245" s="7"/>
      <c r="B245" s="7"/>
      <c r="D245" s="7"/>
    </row>
    <row r="246" ht="15.75" customHeight="1">
      <c r="A246" s="7"/>
      <c r="B246" s="7"/>
      <c r="D246" s="7"/>
    </row>
    <row r="247" ht="15.75" customHeight="1">
      <c r="A247" s="7"/>
      <c r="B247" s="7"/>
      <c r="D247" s="7"/>
    </row>
    <row r="248" ht="15.75" customHeight="1">
      <c r="A248" s="7"/>
      <c r="B248" s="7"/>
      <c r="D248" s="7"/>
    </row>
    <row r="249" ht="15.75" customHeight="1">
      <c r="A249" s="7"/>
      <c r="B249" s="7"/>
      <c r="D249" s="7"/>
    </row>
    <row r="250" ht="15.75" customHeight="1">
      <c r="A250" s="7"/>
      <c r="B250" s="7"/>
      <c r="D250" s="7"/>
    </row>
    <row r="251" ht="15.75" customHeight="1">
      <c r="A251" s="7"/>
      <c r="B251" s="7"/>
      <c r="D251" s="7"/>
    </row>
    <row r="252" ht="15.75" customHeight="1">
      <c r="A252" s="7"/>
      <c r="B252" s="7"/>
      <c r="D252" s="7"/>
    </row>
    <row r="253" ht="15.75" customHeight="1">
      <c r="A253" s="7"/>
      <c r="B253" s="7"/>
      <c r="D253" s="7"/>
    </row>
    <row r="254" ht="15.75" customHeight="1">
      <c r="A254" s="7"/>
      <c r="B254" s="7"/>
      <c r="D254" s="7"/>
    </row>
    <row r="255" ht="15.75" customHeight="1">
      <c r="A255" s="7"/>
      <c r="B255" s="7"/>
      <c r="D255" s="7"/>
    </row>
    <row r="256" ht="15.75" customHeight="1">
      <c r="A256" s="7"/>
      <c r="B256" s="7"/>
      <c r="D256" s="7"/>
    </row>
    <row r="257" ht="15.75" customHeight="1">
      <c r="A257" s="7"/>
      <c r="B257" s="7"/>
      <c r="D257" s="7"/>
    </row>
    <row r="258" ht="15.75" customHeight="1">
      <c r="A258" s="7"/>
      <c r="B258" s="7"/>
      <c r="D258" s="7"/>
    </row>
    <row r="259" ht="15.75" customHeight="1">
      <c r="A259" s="7"/>
      <c r="B259" s="7"/>
      <c r="D259" s="7"/>
    </row>
    <row r="260" ht="15.75" customHeight="1">
      <c r="A260" s="7"/>
      <c r="B260" s="7"/>
      <c r="D260" s="7"/>
    </row>
    <row r="261" ht="15.75" customHeight="1">
      <c r="A261" s="7"/>
      <c r="B261" s="7"/>
      <c r="D261" s="7"/>
    </row>
    <row r="262" ht="15.75" customHeight="1">
      <c r="A262" s="7"/>
      <c r="B262" s="7"/>
      <c r="D262" s="7"/>
    </row>
    <row r="263" ht="15.75" customHeight="1">
      <c r="A263" s="7"/>
      <c r="B263" s="7"/>
      <c r="D263" s="7"/>
    </row>
    <row r="264" ht="15.75" customHeight="1">
      <c r="A264" s="7"/>
      <c r="B264" s="7"/>
      <c r="D264" s="7"/>
    </row>
    <row r="265" ht="15.75" customHeight="1">
      <c r="A265" s="7"/>
      <c r="B265" s="7"/>
      <c r="D265" s="7"/>
    </row>
    <row r="266" ht="15.75" customHeight="1">
      <c r="A266" s="7"/>
      <c r="B266" s="7"/>
      <c r="D266" s="7"/>
    </row>
    <row r="267" ht="15.75" customHeight="1">
      <c r="A267" s="7"/>
      <c r="B267" s="7"/>
      <c r="D267" s="7"/>
    </row>
    <row r="268" ht="15.75" customHeight="1">
      <c r="A268" s="7"/>
      <c r="B268" s="7"/>
      <c r="D268" s="7"/>
    </row>
    <row r="269" ht="15.75" customHeight="1">
      <c r="A269" s="7"/>
      <c r="B269" s="7"/>
      <c r="D269" s="7"/>
    </row>
    <row r="270" ht="15.75" customHeight="1">
      <c r="A270" s="7"/>
      <c r="B270" s="7"/>
      <c r="D270" s="7"/>
    </row>
    <row r="271" ht="15.75" customHeight="1">
      <c r="A271" s="7"/>
      <c r="B271" s="7"/>
      <c r="D271" s="7"/>
    </row>
    <row r="272" ht="15.75" customHeight="1">
      <c r="A272" s="7"/>
      <c r="B272" s="7"/>
      <c r="D272" s="7"/>
    </row>
    <row r="273" ht="15.75" customHeight="1">
      <c r="A273" s="7"/>
      <c r="B273" s="7"/>
      <c r="D273" s="7"/>
    </row>
    <row r="274" ht="15.75" customHeight="1">
      <c r="A274" s="7"/>
      <c r="B274" s="7"/>
      <c r="D274" s="7"/>
    </row>
    <row r="275" ht="15.75" customHeight="1">
      <c r="A275" s="7"/>
      <c r="B275" s="7"/>
      <c r="D275" s="7"/>
    </row>
    <row r="276" ht="15.75" customHeight="1">
      <c r="A276" s="7"/>
      <c r="B276" s="7"/>
      <c r="D276" s="7"/>
    </row>
    <row r="277" ht="15.75" customHeight="1">
      <c r="A277" s="7"/>
      <c r="B277" s="7"/>
      <c r="D277" s="7"/>
    </row>
    <row r="278" ht="15.75" customHeight="1">
      <c r="A278" s="7"/>
      <c r="B278" s="7"/>
      <c r="D278" s="7"/>
    </row>
    <row r="279" ht="15.75" customHeight="1">
      <c r="A279" s="7"/>
      <c r="B279" s="7"/>
      <c r="D279" s="7"/>
    </row>
    <row r="280" ht="15.75" customHeight="1">
      <c r="A280" s="7"/>
      <c r="B280" s="7"/>
      <c r="D280" s="7"/>
    </row>
    <row r="281" ht="15.75" customHeight="1">
      <c r="A281" s="7"/>
      <c r="B281" s="7"/>
      <c r="D281" s="7"/>
    </row>
    <row r="282" ht="15.75" customHeight="1">
      <c r="A282" s="7"/>
      <c r="B282" s="7"/>
      <c r="D282" s="7"/>
    </row>
    <row r="283" ht="15.75" customHeight="1">
      <c r="A283" s="7"/>
      <c r="B283" s="7"/>
      <c r="D283" s="7"/>
    </row>
    <row r="284" ht="15.75" customHeight="1">
      <c r="A284" s="7"/>
      <c r="B284" s="7"/>
      <c r="D284" s="7"/>
    </row>
    <row r="285" ht="15.75" customHeight="1">
      <c r="A285" s="7"/>
      <c r="B285" s="7"/>
      <c r="D285" s="7"/>
    </row>
    <row r="286" ht="15.75" customHeight="1">
      <c r="A286" s="7"/>
      <c r="B286" s="7"/>
      <c r="D286" s="7"/>
    </row>
    <row r="287" ht="15.75" customHeight="1">
      <c r="A287" s="7"/>
      <c r="B287" s="7"/>
      <c r="D287" s="7"/>
    </row>
    <row r="288" ht="15.75" customHeight="1">
      <c r="A288" s="7"/>
      <c r="B288" s="7"/>
      <c r="D288" s="7"/>
    </row>
    <row r="289" ht="15.75" customHeight="1">
      <c r="A289" s="7"/>
      <c r="B289" s="7"/>
      <c r="D289" s="7"/>
    </row>
    <row r="290" ht="15.75" customHeight="1">
      <c r="A290" s="7"/>
      <c r="B290" s="7"/>
      <c r="D290" s="7"/>
    </row>
    <row r="291" ht="15.75" customHeight="1">
      <c r="A291" s="7"/>
      <c r="B291" s="7"/>
      <c r="D291" s="7"/>
    </row>
    <row r="292" ht="15.75" customHeight="1">
      <c r="A292" s="7"/>
      <c r="B292" s="7"/>
      <c r="D292" s="7"/>
    </row>
    <row r="293" ht="15.75" customHeight="1">
      <c r="A293" s="7"/>
      <c r="B293" s="7"/>
      <c r="D293" s="7"/>
    </row>
    <row r="294" ht="15.75" customHeight="1">
      <c r="A294" s="7"/>
      <c r="B294" s="7"/>
      <c r="D294" s="7"/>
    </row>
    <row r="295" ht="15.75" customHeight="1">
      <c r="A295" s="7"/>
      <c r="B295" s="7"/>
      <c r="D295" s="7"/>
    </row>
    <row r="296" ht="15.75" customHeight="1">
      <c r="A296" s="7"/>
      <c r="B296" s="7"/>
      <c r="D296" s="7"/>
    </row>
    <row r="297" ht="15.75" customHeight="1">
      <c r="A297" s="7"/>
      <c r="B297" s="7"/>
      <c r="D297" s="7"/>
    </row>
    <row r="298" ht="15.75" customHeight="1">
      <c r="A298" s="7"/>
      <c r="B298" s="7"/>
      <c r="D298" s="7"/>
    </row>
    <row r="299" ht="15.75" customHeight="1">
      <c r="A299" s="7"/>
      <c r="B299" s="7"/>
      <c r="D299" s="7"/>
    </row>
    <row r="300" ht="15.75" customHeight="1">
      <c r="A300" s="7"/>
      <c r="B300" s="7"/>
      <c r="D300" s="7"/>
    </row>
    <row r="301" ht="15.75" customHeight="1">
      <c r="A301" s="7"/>
      <c r="B301" s="7"/>
      <c r="D301" s="7"/>
    </row>
    <row r="302" ht="15.75" customHeight="1">
      <c r="A302" s="7"/>
      <c r="B302" s="7"/>
      <c r="D302" s="7"/>
    </row>
    <row r="303" ht="15.75" customHeight="1">
      <c r="A303" s="7"/>
      <c r="B303" s="7"/>
      <c r="D303" s="7"/>
    </row>
    <row r="304" ht="15.75" customHeight="1">
      <c r="A304" s="7"/>
      <c r="B304" s="7"/>
      <c r="D304" s="7"/>
    </row>
    <row r="305" ht="15.75" customHeight="1">
      <c r="A305" s="7"/>
      <c r="B305" s="7"/>
      <c r="D305" s="7"/>
    </row>
    <row r="306" ht="15.75" customHeight="1">
      <c r="A306" s="7"/>
      <c r="B306" s="7"/>
      <c r="D306" s="7"/>
    </row>
    <row r="307" ht="15.75" customHeight="1">
      <c r="A307" s="7"/>
      <c r="B307" s="7"/>
      <c r="D307" s="7"/>
    </row>
    <row r="308" ht="15.75" customHeight="1">
      <c r="A308" s="7"/>
      <c r="B308" s="7"/>
      <c r="D308" s="7"/>
    </row>
    <row r="309" ht="15.75" customHeight="1">
      <c r="A309" s="7"/>
      <c r="B309" s="7"/>
      <c r="D309" s="7"/>
    </row>
    <row r="310" ht="15.75" customHeight="1">
      <c r="A310" s="7"/>
      <c r="B310" s="7"/>
      <c r="D310" s="7"/>
    </row>
    <row r="311" ht="15.75" customHeight="1">
      <c r="A311" s="7"/>
      <c r="B311" s="7"/>
      <c r="D311" s="7"/>
    </row>
    <row r="312" ht="15.75" customHeight="1">
      <c r="A312" s="7"/>
      <c r="B312" s="7"/>
      <c r="D312" s="7"/>
    </row>
    <row r="313" ht="15.75" customHeight="1">
      <c r="A313" s="7"/>
      <c r="B313" s="7"/>
      <c r="D313" s="7"/>
    </row>
    <row r="314" ht="15.75" customHeight="1">
      <c r="A314" s="7"/>
      <c r="B314" s="7"/>
      <c r="D314" s="7"/>
    </row>
    <row r="315" ht="15.75" customHeight="1">
      <c r="A315" s="7"/>
      <c r="B315" s="7"/>
      <c r="D315" s="7"/>
    </row>
    <row r="316" ht="15.75" customHeight="1">
      <c r="A316" s="7"/>
      <c r="B316" s="7"/>
      <c r="D316" s="7"/>
    </row>
    <row r="317" ht="15.75" customHeight="1">
      <c r="A317" s="7"/>
      <c r="B317" s="7"/>
      <c r="D317" s="7"/>
    </row>
    <row r="318" ht="15.75" customHeight="1">
      <c r="A318" s="7"/>
      <c r="B318" s="7"/>
      <c r="D318" s="7"/>
    </row>
    <row r="319" ht="15.75" customHeight="1">
      <c r="A319" s="7"/>
      <c r="B319" s="7"/>
      <c r="D319" s="7"/>
    </row>
    <row r="320" ht="15.75" customHeight="1">
      <c r="A320" s="7"/>
      <c r="B320" s="7"/>
      <c r="D320" s="7"/>
    </row>
    <row r="321" ht="15.75" customHeight="1">
      <c r="A321" s="7"/>
      <c r="B321" s="7"/>
      <c r="D321" s="7"/>
    </row>
    <row r="322" ht="15.75" customHeight="1">
      <c r="A322" s="7"/>
      <c r="B322" s="7"/>
      <c r="D322" s="7"/>
    </row>
    <row r="323" ht="15.75" customHeight="1">
      <c r="A323" s="7"/>
      <c r="B323" s="7"/>
      <c r="D323" s="7"/>
    </row>
    <row r="324" ht="15.75" customHeight="1">
      <c r="A324" s="7"/>
      <c r="B324" s="7"/>
      <c r="D324" s="7"/>
    </row>
    <row r="325" ht="15.75" customHeight="1">
      <c r="A325" s="7"/>
      <c r="B325" s="7"/>
      <c r="D325" s="7"/>
    </row>
    <row r="326" ht="15.75" customHeight="1">
      <c r="A326" s="7"/>
      <c r="B326" s="7"/>
      <c r="D326" s="7"/>
    </row>
    <row r="327" ht="15.75" customHeight="1">
      <c r="A327" s="7"/>
      <c r="B327" s="7"/>
      <c r="D327" s="7"/>
    </row>
    <row r="328" ht="15.75" customHeight="1">
      <c r="A328" s="7"/>
      <c r="B328" s="7"/>
      <c r="D328" s="7"/>
    </row>
    <row r="329" ht="15.75" customHeight="1">
      <c r="A329" s="7"/>
      <c r="B329" s="7"/>
      <c r="D329" s="7"/>
    </row>
    <row r="330" ht="15.75" customHeight="1">
      <c r="A330" s="7"/>
      <c r="B330" s="7"/>
      <c r="D330" s="7"/>
    </row>
    <row r="331" ht="15.75" customHeight="1">
      <c r="A331" s="7"/>
      <c r="B331" s="7"/>
      <c r="D331" s="7"/>
    </row>
    <row r="332" ht="15.75" customHeight="1">
      <c r="A332" s="7"/>
      <c r="B332" s="7"/>
      <c r="D332" s="7"/>
    </row>
    <row r="333" ht="15.75" customHeight="1">
      <c r="A333" s="7"/>
      <c r="B333" s="7"/>
      <c r="D333" s="7"/>
    </row>
    <row r="334" ht="15.75" customHeight="1">
      <c r="A334" s="7"/>
      <c r="B334" s="7"/>
      <c r="D334" s="7"/>
    </row>
    <row r="335" ht="15.75" customHeight="1">
      <c r="A335" s="7"/>
      <c r="B335" s="7"/>
      <c r="D335" s="7"/>
    </row>
    <row r="336" ht="15.75" customHeight="1">
      <c r="A336" s="7"/>
      <c r="B336" s="7"/>
      <c r="D336" s="7"/>
    </row>
    <row r="337" ht="15.75" customHeight="1">
      <c r="A337" s="7"/>
      <c r="B337" s="7"/>
      <c r="D337" s="7"/>
    </row>
    <row r="338" ht="15.75" customHeight="1">
      <c r="A338" s="7"/>
      <c r="B338" s="7"/>
      <c r="D338" s="7"/>
    </row>
    <row r="339" ht="15.75" customHeight="1">
      <c r="A339" s="7"/>
      <c r="B339" s="7"/>
      <c r="D339" s="7"/>
    </row>
    <row r="340" ht="15.75" customHeight="1">
      <c r="A340" s="7"/>
      <c r="B340" s="7"/>
      <c r="D340" s="7"/>
    </row>
    <row r="341" ht="15.75" customHeight="1">
      <c r="A341" s="7"/>
      <c r="B341" s="7"/>
      <c r="D341" s="7"/>
    </row>
    <row r="342" ht="15.75" customHeight="1">
      <c r="A342" s="7"/>
      <c r="B342" s="7"/>
      <c r="D342" s="7"/>
    </row>
    <row r="343" ht="15.75" customHeight="1">
      <c r="A343" s="7"/>
      <c r="B343" s="7"/>
      <c r="D343" s="7"/>
    </row>
    <row r="344" ht="15.75" customHeight="1">
      <c r="A344" s="7"/>
      <c r="B344" s="7"/>
      <c r="D344" s="7"/>
    </row>
    <row r="345" ht="15.75" customHeight="1">
      <c r="A345" s="7"/>
      <c r="B345" s="7"/>
      <c r="D345" s="7"/>
    </row>
    <row r="346" ht="15.75" customHeight="1">
      <c r="A346" s="7"/>
      <c r="B346" s="7"/>
      <c r="D346" s="7"/>
    </row>
    <row r="347" ht="15.75" customHeight="1">
      <c r="A347" s="7"/>
      <c r="B347" s="7"/>
      <c r="D347" s="7"/>
    </row>
    <row r="348" ht="15.75" customHeight="1">
      <c r="A348" s="7"/>
      <c r="B348" s="7"/>
      <c r="D348" s="7"/>
    </row>
    <row r="349" ht="15.75" customHeight="1">
      <c r="A349" s="7"/>
      <c r="B349" s="7"/>
      <c r="D349" s="7"/>
    </row>
    <row r="350" ht="15.75" customHeight="1">
      <c r="A350" s="7"/>
      <c r="B350" s="7"/>
      <c r="D350" s="7"/>
    </row>
    <row r="351" ht="15.75" customHeight="1">
      <c r="A351" s="7"/>
      <c r="B351" s="7"/>
      <c r="D351" s="7"/>
    </row>
    <row r="352" ht="15.75" customHeight="1">
      <c r="A352" s="7"/>
      <c r="B352" s="7"/>
      <c r="D352" s="7"/>
    </row>
    <row r="353" ht="15.75" customHeight="1">
      <c r="A353" s="7"/>
      <c r="B353" s="7"/>
      <c r="D353" s="7"/>
    </row>
    <row r="354" ht="15.75" customHeight="1">
      <c r="A354" s="7"/>
      <c r="B354" s="7"/>
      <c r="D354" s="7"/>
    </row>
    <row r="355" ht="15.75" customHeight="1">
      <c r="A355" s="7"/>
      <c r="B355" s="7"/>
      <c r="D355" s="7"/>
    </row>
    <row r="356" ht="15.75" customHeight="1">
      <c r="A356" s="7"/>
      <c r="B356" s="7"/>
      <c r="D356" s="7"/>
    </row>
    <row r="357" ht="15.75" customHeight="1">
      <c r="A357" s="7"/>
      <c r="B357" s="7"/>
      <c r="D357" s="7"/>
    </row>
    <row r="358" ht="15.75" customHeight="1">
      <c r="A358" s="7"/>
      <c r="B358" s="7"/>
      <c r="D358" s="7"/>
    </row>
    <row r="359" ht="15.75" customHeight="1">
      <c r="A359" s="7"/>
      <c r="B359" s="7"/>
      <c r="D359" s="7"/>
    </row>
    <row r="360" ht="15.75" customHeight="1">
      <c r="A360" s="7"/>
      <c r="B360" s="7"/>
      <c r="D360" s="7"/>
    </row>
    <row r="361" ht="15.75" customHeight="1">
      <c r="A361" s="7"/>
      <c r="B361" s="7"/>
      <c r="D361" s="7"/>
    </row>
    <row r="362" ht="15.75" customHeight="1">
      <c r="A362" s="7"/>
      <c r="B362" s="7"/>
      <c r="D362" s="7"/>
    </row>
    <row r="363" ht="15.75" customHeight="1">
      <c r="A363" s="7"/>
      <c r="B363" s="7"/>
      <c r="D363" s="7"/>
    </row>
    <row r="364" ht="15.75" customHeight="1">
      <c r="A364" s="7"/>
      <c r="B364" s="7"/>
      <c r="D364" s="7"/>
    </row>
    <row r="365" ht="15.75" customHeight="1">
      <c r="A365" s="7"/>
      <c r="B365" s="7"/>
      <c r="D365" s="7"/>
    </row>
    <row r="366" ht="15.75" customHeight="1">
      <c r="A366" s="7"/>
      <c r="B366" s="7"/>
      <c r="D366" s="7"/>
    </row>
    <row r="367" ht="15.75" customHeight="1">
      <c r="A367" s="7"/>
      <c r="B367" s="7"/>
      <c r="D367" s="7"/>
    </row>
    <row r="368" ht="15.75" customHeight="1">
      <c r="A368" s="7"/>
      <c r="B368" s="7"/>
      <c r="D368" s="7"/>
    </row>
    <row r="369" ht="15.75" customHeight="1">
      <c r="A369" s="7"/>
      <c r="B369" s="7"/>
      <c r="D369" s="7"/>
    </row>
    <row r="370" ht="15.75" customHeight="1">
      <c r="A370" s="7"/>
      <c r="B370" s="7"/>
      <c r="D370" s="7"/>
    </row>
    <row r="371" ht="15.75" customHeight="1">
      <c r="A371" s="7"/>
      <c r="B371" s="7"/>
      <c r="D371" s="7"/>
    </row>
    <row r="372" ht="15.75" customHeight="1">
      <c r="A372" s="7"/>
      <c r="B372" s="7"/>
      <c r="D372" s="7"/>
    </row>
    <row r="373" ht="15.75" customHeight="1">
      <c r="A373" s="7"/>
      <c r="B373" s="7"/>
      <c r="D373" s="7"/>
    </row>
    <row r="374" ht="15.75" customHeight="1">
      <c r="A374" s="7"/>
      <c r="B374" s="7"/>
      <c r="D374" s="7"/>
    </row>
    <row r="375" ht="15.75" customHeight="1">
      <c r="A375" s="7"/>
      <c r="B375" s="7"/>
      <c r="D375" s="7"/>
    </row>
    <row r="376" ht="15.75" customHeight="1">
      <c r="A376" s="7"/>
      <c r="B376" s="7"/>
      <c r="D376" s="7"/>
    </row>
    <row r="377" ht="15.75" customHeight="1">
      <c r="A377" s="7"/>
      <c r="B377" s="7"/>
      <c r="D377" s="7"/>
    </row>
    <row r="378" ht="15.75" customHeight="1">
      <c r="A378" s="7"/>
      <c r="B378" s="7"/>
      <c r="D378" s="7"/>
    </row>
    <row r="379" ht="15.75" customHeight="1">
      <c r="A379" s="7"/>
      <c r="B379" s="7"/>
      <c r="D379" s="7"/>
    </row>
    <row r="380" ht="15.75" customHeight="1">
      <c r="A380" s="7"/>
      <c r="B380" s="7"/>
      <c r="D380" s="7"/>
    </row>
    <row r="381" ht="15.75" customHeight="1">
      <c r="A381" s="7"/>
      <c r="B381" s="7"/>
      <c r="D381" s="7"/>
    </row>
    <row r="382" ht="15.75" customHeight="1">
      <c r="A382" s="7"/>
      <c r="B382" s="7"/>
      <c r="D382" s="7"/>
    </row>
    <row r="383" ht="15.75" customHeight="1">
      <c r="A383" s="7"/>
      <c r="B383" s="7"/>
      <c r="D383" s="7"/>
    </row>
    <row r="384" ht="15.75" customHeight="1">
      <c r="A384" s="7"/>
      <c r="B384" s="7"/>
      <c r="D384" s="7"/>
    </row>
    <row r="385" ht="15.75" customHeight="1">
      <c r="A385" s="7"/>
      <c r="B385" s="7"/>
      <c r="D385" s="7"/>
    </row>
    <row r="386" ht="15.75" customHeight="1">
      <c r="A386" s="7"/>
      <c r="B386" s="7"/>
      <c r="D386" s="7"/>
    </row>
    <row r="387" ht="15.75" customHeight="1">
      <c r="A387" s="7"/>
      <c r="B387" s="7"/>
      <c r="D387" s="7"/>
    </row>
    <row r="388" ht="15.75" customHeight="1">
      <c r="A388" s="7"/>
      <c r="B388" s="7"/>
      <c r="D388" s="7"/>
    </row>
    <row r="389" ht="15.75" customHeight="1">
      <c r="A389" s="7"/>
      <c r="B389" s="7"/>
      <c r="D389" s="7"/>
    </row>
    <row r="390" ht="15.75" customHeight="1">
      <c r="A390" s="7"/>
      <c r="B390" s="7"/>
      <c r="D390" s="7"/>
    </row>
    <row r="391" ht="15.75" customHeight="1">
      <c r="A391" s="7"/>
      <c r="B391" s="7"/>
      <c r="D391" s="7"/>
    </row>
    <row r="392" ht="15.75" customHeight="1">
      <c r="A392" s="7"/>
      <c r="B392" s="7"/>
      <c r="D392" s="7"/>
    </row>
    <row r="393" ht="15.75" customHeight="1">
      <c r="A393" s="7"/>
      <c r="B393" s="7"/>
      <c r="D393" s="7"/>
    </row>
    <row r="394" ht="15.75" customHeight="1">
      <c r="A394" s="7"/>
      <c r="B394" s="7"/>
      <c r="D394" s="7"/>
    </row>
    <row r="395" ht="15.75" customHeight="1">
      <c r="A395" s="7"/>
      <c r="B395" s="7"/>
      <c r="D395" s="7"/>
    </row>
    <row r="396" ht="15.75" customHeight="1">
      <c r="A396" s="7"/>
      <c r="B396" s="7"/>
      <c r="D396" s="7"/>
    </row>
    <row r="397" ht="15.75" customHeight="1">
      <c r="A397" s="7"/>
      <c r="B397" s="7"/>
      <c r="D397" s="7"/>
    </row>
    <row r="398" ht="15.75" customHeight="1">
      <c r="A398" s="7"/>
      <c r="B398" s="7"/>
      <c r="D398" s="7"/>
    </row>
    <row r="399" ht="15.75" customHeight="1">
      <c r="A399" s="7"/>
      <c r="B399" s="7"/>
      <c r="D399" s="7"/>
    </row>
    <row r="400" ht="15.75" customHeight="1">
      <c r="A400" s="7"/>
      <c r="B400" s="7"/>
      <c r="D400" s="7"/>
    </row>
    <row r="401" ht="15.75" customHeight="1">
      <c r="A401" s="7"/>
      <c r="B401" s="7"/>
      <c r="D401" s="7"/>
    </row>
    <row r="402" ht="15.75" customHeight="1">
      <c r="A402" s="7"/>
      <c r="B402" s="7"/>
      <c r="D402" s="7"/>
    </row>
    <row r="403" ht="15.75" customHeight="1">
      <c r="A403" s="7"/>
      <c r="B403" s="7"/>
      <c r="D403" s="7"/>
    </row>
    <row r="404" ht="15.75" customHeight="1">
      <c r="A404" s="7"/>
      <c r="B404" s="7"/>
      <c r="D404" s="7"/>
    </row>
    <row r="405" ht="15.75" customHeight="1">
      <c r="A405" s="7"/>
      <c r="B405" s="7"/>
      <c r="D405" s="7"/>
    </row>
    <row r="406" ht="15.75" customHeight="1">
      <c r="A406" s="7"/>
      <c r="B406" s="7"/>
      <c r="D406" s="7"/>
    </row>
    <row r="407" ht="15.75" customHeight="1">
      <c r="A407" s="7"/>
      <c r="B407" s="7"/>
      <c r="D407" s="7"/>
    </row>
    <row r="408" ht="15.75" customHeight="1">
      <c r="A408" s="7"/>
      <c r="B408" s="7"/>
      <c r="D408" s="7"/>
    </row>
    <row r="409" ht="15.75" customHeight="1">
      <c r="A409" s="7"/>
      <c r="B409" s="7"/>
      <c r="D409" s="7"/>
    </row>
    <row r="410" ht="15.75" customHeight="1">
      <c r="A410" s="7"/>
      <c r="B410" s="7"/>
      <c r="D410" s="7"/>
    </row>
    <row r="411" ht="15.75" customHeight="1">
      <c r="A411" s="7"/>
      <c r="B411" s="7"/>
      <c r="D411" s="7"/>
    </row>
    <row r="412" ht="15.75" customHeight="1">
      <c r="A412" s="7"/>
      <c r="B412" s="7"/>
      <c r="D412" s="7"/>
    </row>
    <row r="413" ht="15.75" customHeight="1">
      <c r="A413" s="7"/>
      <c r="B413" s="7"/>
      <c r="D413" s="7"/>
    </row>
    <row r="414" ht="15.75" customHeight="1">
      <c r="A414" s="7"/>
      <c r="B414" s="7"/>
      <c r="D414" s="7"/>
    </row>
    <row r="415" ht="15.75" customHeight="1">
      <c r="A415" s="7"/>
      <c r="B415" s="7"/>
      <c r="D415" s="7"/>
    </row>
    <row r="416" ht="15.75" customHeight="1">
      <c r="A416" s="7"/>
      <c r="B416" s="7"/>
      <c r="D416" s="7"/>
    </row>
    <row r="417" ht="15.75" customHeight="1">
      <c r="A417" s="7"/>
      <c r="B417" s="7"/>
      <c r="D417" s="7"/>
    </row>
    <row r="418" ht="15.75" customHeight="1">
      <c r="A418" s="7"/>
      <c r="B418" s="7"/>
      <c r="D418" s="7"/>
    </row>
    <row r="419" ht="15.75" customHeight="1">
      <c r="A419" s="7"/>
      <c r="B419" s="7"/>
      <c r="D419" s="7"/>
    </row>
    <row r="420" ht="15.75" customHeight="1">
      <c r="A420" s="7"/>
      <c r="B420" s="7"/>
      <c r="D420" s="7"/>
    </row>
    <row r="421" ht="15.75" customHeight="1">
      <c r="A421" s="7"/>
      <c r="B421" s="7"/>
      <c r="D421" s="7"/>
    </row>
    <row r="422" ht="15.75" customHeight="1">
      <c r="A422" s="7"/>
      <c r="B422" s="7"/>
      <c r="D422" s="7"/>
    </row>
    <row r="423" ht="15.75" customHeight="1">
      <c r="A423" s="7"/>
      <c r="B423" s="7"/>
      <c r="D423" s="7"/>
    </row>
    <row r="424" ht="15.75" customHeight="1">
      <c r="A424" s="7"/>
      <c r="B424" s="7"/>
      <c r="D424" s="7"/>
    </row>
    <row r="425" ht="15.75" customHeight="1">
      <c r="A425" s="7"/>
      <c r="B425" s="7"/>
      <c r="D425" s="7"/>
    </row>
    <row r="426" ht="15.75" customHeight="1">
      <c r="A426" s="7"/>
      <c r="B426" s="7"/>
      <c r="D426" s="7"/>
    </row>
    <row r="427" ht="15.75" customHeight="1">
      <c r="A427" s="7"/>
      <c r="B427" s="7"/>
      <c r="D427" s="7"/>
    </row>
    <row r="428" ht="15.75" customHeight="1">
      <c r="A428" s="7"/>
      <c r="B428" s="7"/>
      <c r="D428" s="7"/>
    </row>
    <row r="429" ht="15.75" customHeight="1">
      <c r="A429" s="7"/>
      <c r="B429" s="7"/>
      <c r="D429" s="7"/>
    </row>
    <row r="430" ht="15.75" customHeight="1">
      <c r="A430" s="7"/>
      <c r="B430" s="7"/>
      <c r="D430" s="7"/>
    </row>
    <row r="431" ht="15.75" customHeight="1">
      <c r="A431" s="7"/>
      <c r="B431" s="7"/>
      <c r="D431" s="7"/>
    </row>
    <row r="432" ht="15.75" customHeight="1">
      <c r="A432" s="7"/>
      <c r="B432" s="7"/>
      <c r="D432" s="7"/>
    </row>
    <row r="433" ht="15.75" customHeight="1">
      <c r="A433" s="7"/>
      <c r="B433" s="7"/>
      <c r="D433" s="7"/>
    </row>
    <row r="434" ht="15.75" customHeight="1">
      <c r="A434" s="7"/>
      <c r="B434" s="7"/>
      <c r="D434" s="7"/>
    </row>
    <row r="435" ht="15.75" customHeight="1">
      <c r="A435" s="7"/>
      <c r="B435" s="7"/>
      <c r="D435" s="7"/>
    </row>
    <row r="436" ht="15.75" customHeight="1">
      <c r="A436" s="7"/>
      <c r="B436" s="7"/>
      <c r="D436" s="7"/>
    </row>
    <row r="437" ht="15.75" customHeight="1">
      <c r="A437" s="7"/>
      <c r="B437" s="7"/>
      <c r="D437" s="7"/>
    </row>
    <row r="438" ht="15.75" customHeight="1">
      <c r="A438" s="7"/>
      <c r="B438" s="7"/>
      <c r="D438" s="7"/>
    </row>
    <row r="439" ht="15.75" customHeight="1">
      <c r="A439" s="7"/>
      <c r="B439" s="7"/>
      <c r="D439" s="7"/>
    </row>
    <row r="440" ht="15.75" customHeight="1">
      <c r="A440" s="7"/>
      <c r="B440" s="7"/>
      <c r="D440" s="7"/>
    </row>
    <row r="441" ht="15.75" customHeight="1">
      <c r="A441" s="7"/>
      <c r="B441" s="7"/>
      <c r="D441" s="7"/>
    </row>
    <row r="442" ht="15.75" customHeight="1">
      <c r="A442" s="7"/>
      <c r="B442" s="7"/>
      <c r="D442" s="7"/>
    </row>
    <row r="443" ht="15.75" customHeight="1">
      <c r="A443" s="7"/>
      <c r="B443" s="7"/>
      <c r="D443" s="7"/>
    </row>
    <row r="444" ht="15.75" customHeight="1">
      <c r="A444" s="7"/>
      <c r="B444" s="7"/>
      <c r="D444" s="7"/>
    </row>
    <row r="445" ht="15.75" customHeight="1">
      <c r="A445" s="7"/>
      <c r="B445" s="7"/>
      <c r="D445" s="7"/>
    </row>
    <row r="446" ht="15.75" customHeight="1">
      <c r="A446" s="7"/>
      <c r="B446" s="7"/>
      <c r="D446" s="7"/>
    </row>
    <row r="447" ht="15.75" customHeight="1">
      <c r="A447" s="7"/>
      <c r="B447" s="7"/>
      <c r="D447" s="7"/>
    </row>
    <row r="448" ht="15.75" customHeight="1">
      <c r="A448" s="7"/>
      <c r="B448" s="7"/>
      <c r="D448" s="7"/>
    </row>
    <row r="449" ht="15.75" customHeight="1">
      <c r="A449" s="7"/>
      <c r="B449" s="7"/>
      <c r="D449" s="7"/>
    </row>
    <row r="450" ht="15.75" customHeight="1">
      <c r="A450" s="7"/>
      <c r="B450" s="7"/>
      <c r="D450" s="7"/>
    </row>
    <row r="451" ht="15.75" customHeight="1">
      <c r="A451" s="7"/>
      <c r="B451" s="7"/>
      <c r="D451" s="7"/>
    </row>
    <row r="452" ht="15.75" customHeight="1">
      <c r="A452" s="7"/>
      <c r="B452" s="7"/>
      <c r="D452" s="7"/>
    </row>
    <row r="453" ht="15.75" customHeight="1">
      <c r="A453" s="7"/>
      <c r="B453" s="7"/>
      <c r="D453" s="7"/>
    </row>
    <row r="454" ht="15.75" customHeight="1">
      <c r="A454" s="7"/>
      <c r="B454" s="7"/>
      <c r="D454" s="7"/>
    </row>
    <row r="455" ht="15.75" customHeight="1">
      <c r="A455" s="7"/>
      <c r="B455" s="7"/>
      <c r="D455" s="7"/>
    </row>
    <row r="456" ht="15.75" customHeight="1">
      <c r="A456" s="7"/>
      <c r="B456" s="7"/>
      <c r="D456" s="7"/>
    </row>
    <row r="457" ht="15.75" customHeight="1">
      <c r="A457" s="7"/>
      <c r="B457" s="7"/>
      <c r="D457" s="7"/>
    </row>
    <row r="458" ht="15.75" customHeight="1">
      <c r="A458" s="7"/>
      <c r="B458" s="7"/>
      <c r="D458" s="7"/>
    </row>
    <row r="459" ht="15.75" customHeight="1">
      <c r="A459" s="7"/>
      <c r="B459" s="7"/>
      <c r="D459" s="7"/>
    </row>
    <row r="460" ht="15.75" customHeight="1">
      <c r="A460" s="7"/>
      <c r="B460" s="7"/>
      <c r="D460" s="7"/>
    </row>
    <row r="461" ht="15.75" customHeight="1">
      <c r="A461" s="7"/>
      <c r="B461" s="7"/>
      <c r="D461" s="7"/>
    </row>
    <row r="462" ht="15.75" customHeight="1">
      <c r="A462" s="7"/>
      <c r="B462" s="7"/>
      <c r="D462" s="7"/>
    </row>
    <row r="463" ht="15.75" customHeight="1">
      <c r="A463" s="7"/>
      <c r="B463" s="7"/>
      <c r="D463" s="7"/>
    </row>
    <row r="464" ht="15.75" customHeight="1">
      <c r="A464" s="7"/>
      <c r="B464" s="7"/>
      <c r="D464" s="7"/>
    </row>
    <row r="465" ht="15.75" customHeight="1">
      <c r="A465" s="7"/>
      <c r="B465" s="7"/>
      <c r="D465" s="7"/>
    </row>
    <row r="466" ht="15.75" customHeight="1">
      <c r="A466" s="7"/>
      <c r="B466" s="7"/>
      <c r="D466" s="7"/>
    </row>
    <row r="467" ht="15.75" customHeight="1">
      <c r="A467" s="7"/>
      <c r="B467" s="7"/>
      <c r="D467" s="7"/>
    </row>
    <row r="468" ht="15.75" customHeight="1">
      <c r="A468" s="7"/>
      <c r="B468" s="7"/>
      <c r="D468" s="7"/>
    </row>
    <row r="469" ht="15.75" customHeight="1">
      <c r="A469" s="7"/>
      <c r="B469" s="7"/>
      <c r="D469" s="7"/>
    </row>
    <row r="470" ht="15.75" customHeight="1">
      <c r="A470" s="7"/>
      <c r="B470" s="7"/>
      <c r="D470" s="7"/>
    </row>
    <row r="471" ht="15.75" customHeight="1">
      <c r="A471" s="7"/>
      <c r="B471" s="7"/>
      <c r="D471" s="7"/>
    </row>
    <row r="472" ht="15.75" customHeight="1">
      <c r="A472" s="7"/>
      <c r="B472" s="7"/>
      <c r="D472" s="7"/>
    </row>
    <row r="473" ht="15.75" customHeight="1">
      <c r="A473" s="7"/>
      <c r="B473" s="7"/>
      <c r="D473" s="7"/>
    </row>
    <row r="474" ht="15.75" customHeight="1">
      <c r="A474" s="7"/>
      <c r="B474" s="7"/>
      <c r="D474" s="7"/>
    </row>
    <row r="475" ht="15.75" customHeight="1">
      <c r="A475" s="7"/>
      <c r="B475" s="7"/>
      <c r="D475" s="7"/>
    </row>
    <row r="476" ht="15.75" customHeight="1">
      <c r="A476" s="7"/>
      <c r="B476" s="7"/>
      <c r="D476" s="7"/>
    </row>
    <row r="477" ht="15.75" customHeight="1">
      <c r="A477" s="7"/>
      <c r="B477" s="7"/>
      <c r="D477" s="7"/>
    </row>
    <row r="478" ht="15.75" customHeight="1">
      <c r="A478" s="7"/>
      <c r="B478" s="7"/>
      <c r="D478" s="7"/>
    </row>
    <row r="479" ht="15.75" customHeight="1">
      <c r="A479" s="7"/>
      <c r="B479" s="7"/>
      <c r="D479" s="7"/>
    </row>
    <row r="480" ht="15.75" customHeight="1">
      <c r="A480" s="7"/>
      <c r="B480" s="7"/>
      <c r="D480" s="7"/>
    </row>
    <row r="481" ht="15.75" customHeight="1">
      <c r="A481" s="7"/>
      <c r="B481" s="7"/>
      <c r="D481" s="7"/>
    </row>
    <row r="482" ht="15.75" customHeight="1">
      <c r="A482" s="7"/>
      <c r="B482" s="7"/>
      <c r="D482" s="7"/>
    </row>
    <row r="483" ht="15.75" customHeight="1">
      <c r="A483" s="7"/>
      <c r="B483" s="7"/>
      <c r="D483" s="7"/>
    </row>
    <row r="484" ht="15.75" customHeight="1">
      <c r="A484" s="7"/>
      <c r="B484" s="7"/>
      <c r="D484" s="7"/>
    </row>
    <row r="485" ht="15.75" customHeight="1">
      <c r="A485" s="7"/>
      <c r="B485" s="7"/>
      <c r="D485" s="7"/>
    </row>
    <row r="486" ht="15.75" customHeight="1">
      <c r="A486" s="7"/>
      <c r="B486" s="7"/>
      <c r="D486" s="7"/>
    </row>
    <row r="487" ht="15.75" customHeight="1">
      <c r="A487" s="7"/>
      <c r="B487" s="7"/>
      <c r="D487" s="7"/>
    </row>
    <row r="488" ht="15.75" customHeight="1">
      <c r="A488" s="7"/>
      <c r="B488" s="7"/>
      <c r="D488" s="7"/>
    </row>
    <row r="489" ht="15.75" customHeight="1">
      <c r="A489" s="7"/>
      <c r="B489" s="7"/>
      <c r="D489" s="7"/>
    </row>
    <row r="490" ht="15.75" customHeight="1">
      <c r="A490" s="7"/>
      <c r="B490" s="7"/>
      <c r="D490" s="7"/>
    </row>
    <row r="491" ht="15.75" customHeight="1">
      <c r="A491" s="7"/>
      <c r="B491" s="7"/>
      <c r="D491" s="7"/>
    </row>
    <row r="492" ht="15.75" customHeight="1">
      <c r="A492" s="7"/>
      <c r="B492" s="7"/>
      <c r="D492" s="7"/>
    </row>
    <row r="493" ht="15.75" customHeight="1">
      <c r="A493" s="7"/>
      <c r="B493" s="7"/>
      <c r="D493" s="7"/>
    </row>
    <row r="494" ht="15.75" customHeight="1">
      <c r="A494" s="7"/>
      <c r="B494" s="7"/>
      <c r="D494" s="7"/>
    </row>
    <row r="495" ht="15.75" customHeight="1">
      <c r="A495" s="7"/>
      <c r="B495" s="7"/>
      <c r="D495" s="7"/>
    </row>
    <row r="496" ht="15.75" customHeight="1">
      <c r="A496" s="7"/>
      <c r="B496" s="7"/>
      <c r="D496" s="7"/>
    </row>
    <row r="497" ht="15.75" customHeight="1">
      <c r="A497" s="7"/>
      <c r="B497" s="7"/>
      <c r="D497" s="7"/>
    </row>
    <row r="498" ht="15.75" customHeight="1">
      <c r="A498" s="7"/>
      <c r="B498" s="7"/>
      <c r="D498" s="7"/>
    </row>
    <row r="499" ht="15.75" customHeight="1">
      <c r="A499" s="7"/>
      <c r="B499" s="7"/>
      <c r="D499" s="7"/>
    </row>
    <row r="500" ht="15.75" customHeight="1">
      <c r="A500" s="7"/>
      <c r="B500" s="7"/>
      <c r="D500" s="7"/>
    </row>
    <row r="501" ht="15.75" customHeight="1">
      <c r="A501" s="7"/>
      <c r="B501" s="7"/>
      <c r="D501" s="7"/>
    </row>
    <row r="502" ht="15.75" customHeight="1">
      <c r="A502" s="7"/>
      <c r="B502" s="7"/>
      <c r="D502" s="7"/>
    </row>
    <row r="503" ht="15.75" customHeight="1">
      <c r="A503" s="7"/>
      <c r="B503" s="7"/>
      <c r="D503" s="7"/>
    </row>
    <row r="504" ht="15.75" customHeight="1">
      <c r="A504" s="7"/>
      <c r="B504" s="7"/>
      <c r="D504" s="7"/>
    </row>
    <row r="505" ht="15.75" customHeight="1">
      <c r="A505" s="7"/>
      <c r="B505" s="7"/>
      <c r="D505" s="7"/>
    </row>
    <row r="506" ht="15.75" customHeight="1">
      <c r="A506" s="7"/>
      <c r="B506" s="7"/>
      <c r="D506" s="7"/>
    </row>
    <row r="507" ht="15.75" customHeight="1">
      <c r="A507" s="7"/>
      <c r="B507" s="7"/>
      <c r="D507" s="7"/>
    </row>
    <row r="508" ht="15.75" customHeight="1">
      <c r="A508" s="7"/>
      <c r="B508" s="7"/>
      <c r="D508" s="7"/>
    </row>
    <row r="509" ht="15.75" customHeight="1">
      <c r="A509" s="7"/>
      <c r="B509" s="7"/>
      <c r="D509" s="7"/>
    </row>
    <row r="510" ht="15.75" customHeight="1">
      <c r="A510" s="7"/>
      <c r="B510" s="7"/>
      <c r="D510" s="7"/>
    </row>
    <row r="511" ht="15.75" customHeight="1">
      <c r="A511" s="7"/>
      <c r="B511" s="7"/>
      <c r="D511" s="7"/>
    </row>
    <row r="512" ht="15.75" customHeight="1">
      <c r="A512" s="7"/>
      <c r="B512" s="7"/>
      <c r="D512" s="7"/>
    </row>
    <row r="513" ht="15.75" customHeight="1">
      <c r="A513" s="7"/>
      <c r="B513" s="7"/>
      <c r="D513" s="7"/>
    </row>
    <row r="514" ht="15.75" customHeight="1">
      <c r="A514" s="7"/>
      <c r="B514" s="7"/>
      <c r="D514" s="7"/>
    </row>
    <row r="515" ht="15.75" customHeight="1">
      <c r="A515" s="7"/>
      <c r="B515" s="7"/>
      <c r="D515" s="7"/>
    </row>
    <row r="516" ht="15.75" customHeight="1">
      <c r="A516" s="7"/>
      <c r="B516" s="7"/>
      <c r="D516" s="7"/>
    </row>
    <row r="517" ht="15.75" customHeight="1">
      <c r="A517" s="7"/>
      <c r="B517" s="7"/>
      <c r="D517" s="7"/>
    </row>
    <row r="518" ht="15.75" customHeight="1">
      <c r="A518" s="7"/>
      <c r="B518" s="7"/>
      <c r="D518" s="7"/>
    </row>
    <row r="519" ht="15.75" customHeight="1">
      <c r="A519" s="7"/>
      <c r="B519" s="7"/>
      <c r="D519" s="7"/>
    </row>
    <row r="520" ht="15.75" customHeight="1">
      <c r="A520" s="7"/>
      <c r="B520" s="7"/>
      <c r="D520" s="7"/>
    </row>
    <row r="521" ht="15.75" customHeight="1">
      <c r="A521" s="7"/>
      <c r="B521" s="7"/>
      <c r="D521" s="7"/>
    </row>
    <row r="522" ht="15.75" customHeight="1">
      <c r="A522" s="7"/>
      <c r="B522" s="7"/>
      <c r="D522" s="7"/>
    </row>
    <row r="523" ht="15.75" customHeight="1">
      <c r="A523" s="7"/>
      <c r="B523" s="7"/>
      <c r="D523" s="7"/>
    </row>
    <row r="524" ht="15.75" customHeight="1">
      <c r="A524" s="7"/>
      <c r="B524" s="7"/>
      <c r="D524" s="7"/>
    </row>
    <row r="525" ht="15.75" customHeight="1">
      <c r="A525" s="7"/>
      <c r="B525" s="7"/>
      <c r="D525" s="7"/>
    </row>
    <row r="526" ht="15.75" customHeight="1">
      <c r="A526" s="7"/>
      <c r="B526" s="7"/>
      <c r="D526" s="7"/>
    </row>
    <row r="527" ht="15.75" customHeight="1">
      <c r="A527" s="7"/>
      <c r="B527" s="7"/>
      <c r="D527" s="7"/>
    </row>
    <row r="528" ht="15.75" customHeight="1">
      <c r="A528" s="7"/>
      <c r="B528" s="7"/>
      <c r="D528" s="7"/>
    </row>
    <row r="529" ht="15.75" customHeight="1">
      <c r="A529" s="7"/>
      <c r="B529" s="7"/>
      <c r="D529" s="7"/>
    </row>
    <row r="530" ht="15.75" customHeight="1">
      <c r="A530" s="7"/>
      <c r="B530" s="7"/>
      <c r="D530" s="7"/>
    </row>
    <row r="531" ht="15.75" customHeight="1">
      <c r="A531" s="7"/>
      <c r="B531" s="7"/>
      <c r="D531" s="7"/>
    </row>
    <row r="532" ht="15.75" customHeight="1">
      <c r="A532" s="7"/>
      <c r="B532" s="7"/>
      <c r="D532" s="7"/>
    </row>
    <row r="533" ht="15.75" customHeight="1">
      <c r="A533" s="7"/>
      <c r="B533" s="7"/>
      <c r="D533" s="7"/>
    </row>
    <row r="534" ht="15.75" customHeight="1">
      <c r="A534" s="7"/>
      <c r="B534" s="7"/>
      <c r="D534" s="7"/>
    </row>
    <row r="535" ht="15.75" customHeight="1">
      <c r="A535" s="7"/>
      <c r="B535" s="7"/>
      <c r="D535" s="7"/>
    </row>
    <row r="536" ht="15.75" customHeight="1">
      <c r="A536" s="7"/>
      <c r="B536" s="7"/>
      <c r="D536" s="7"/>
    </row>
    <row r="537" ht="15.75" customHeight="1">
      <c r="A537" s="7"/>
      <c r="B537" s="7"/>
      <c r="D537" s="7"/>
    </row>
    <row r="538" ht="15.75" customHeight="1">
      <c r="A538" s="7"/>
      <c r="B538" s="7"/>
      <c r="D538" s="7"/>
    </row>
    <row r="539" ht="15.75" customHeight="1">
      <c r="A539" s="7"/>
      <c r="B539" s="7"/>
      <c r="D539" s="7"/>
    </row>
    <row r="540" ht="15.75" customHeight="1">
      <c r="A540" s="7"/>
      <c r="B540" s="7"/>
      <c r="D540" s="7"/>
    </row>
    <row r="541" ht="15.75" customHeight="1">
      <c r="A541" s="7"/>
      <c r="B541" s="7"/>
      <c r="D541" s="7"/>
    </row>
    <row r="542" ht="15.75" customHeight="1">
      <c r="A542" s="7"/>
      <c r="B542" s="7"/>
      <c r="D542" s="7"/>
    </row>
    <row r="543" ht="15.75" customHeight="1">
      <c r="A543" s="7"/>
      <c r="B543" s="7"/>
      <c r="D543" s="7"/>
    </row>
    <row r="544" ht="15.75" customHeight="1">
      <c r="A544" s="7"/>
      <c r="B544" s="7"/>
      <c r="D544" s="7"/>
    </row>
    <row r="545" ht="15.75" customHeight="1">
      <c r="A545" s="7"/>
      <c r="B545" s="7"/>
      <c r="D545" s="7"/>
    </row>
    <row r="546" ht="15.75" customHeight="1">
      <c r="A546" s="7"/>
      <c r="B546" s="7"/>
      <c r="D546" s="7"/>
    </row>
    <row r="547" ht="15.75" customHeight="1">
      <c r="A547" s="7"/>
      <c r="B547" s="7"/>
      <c r="D547" s="7"/>
    </row>
    <row r="548" ht="15.75" customHeight="1">
      <c r="A548" s="7"/>
      <c r="B548" s="7"/>
      <c r="D548" s="7"/>
    </row>
    <row r="549" ht="15.75" customHeight="1">
      <c r="A549" s="7"/>
      <c r="B549" s="7"/>
      <c r="D549" s="7"/>
    </row>
    <row r="550" ht="15.75" customHeight="1">
      <c r="A550" s="7"/>
      <c r="B550" s="7"/>
      <c r="D550" s="7"/>
    </row>
    <row r="551" ht="15.75" customHeight="1">
      <c r="A551" s="7"/>
      <c r="B551" s="7"/>
      <c r="D551" s="7"/>
    </row>
    <row r="552" ht="15.75" customHeight="1">
      <c r="A552" s="7"/>
      <c r="B552" s="7"/>
      <c r="D552" s="7"/>
    </row>
    <row r="553" ht="15.75" customHeight="1">
      <c r="A553" s="7"/>
      <c r="B553" s="7"/>
      <c r="D553" s="7"/>
    </row>
    <row r="554" ht="15.75" customHeight="1">
      <c r="A554" s="7"/>
      <c r="B554" s="7"/>
      <c r="D554" s="7"/>
    </row>
    <row r="555" ht="15.75" customHeight="1">
      <c r="A555" s="7"/>
      <c r="B555" s="7"/>
      <c r="D555" s="7"/>
    </row>
    <row r="556" ht="15.75" customHeight="1">
      <c r="A556" s="7"/>
      <c r="B556" s="7"/>
      <c r="D556" s="7"/>
    </row>
    <row r="557" ht="15.75" customHeight="1">
      <c r="A557" s="7"/>
      <c r="B557" s="7"/>
      <c r="D557" s="7"/>
    </row>
    <row r="558" ht="15.75" customHeight="1">
      <c r="A558" s="7"/>
      <c r="B558" s="7"/>
      <c r="D558" s="7"/>
    </row>
    <row r="559" ht="15.75" customHeight="1">
      <c r="A559" s="7"/>
      <c r="B559" s="7"/>
      <c r="D559" s="7"/>
    </row>
    <row r="560" ht="15.75" customHeight="1">
      <c r="A560" s="7"/>
      <c r="B560" s="7"/>
      <c r="D560" s="7"/>
    </row>
    <row r="561" ht="15.75" customHeight="1">
      <c r="A561" s="7"/>
      <c r="B561" s="7"/>
      <c r="D561" s="7"/>
    </row>
    <row r="562" ht="15.75" customHeight="1">
      <c r="A562" s="7"/>
      <c r="B562" s="7"/>
      <c r="D562" s="7"/>
    </row>
    <row r="563" ht="15.75" customHeight="1">
      <c r="A563" s="7"/>
      <c r="B563" s="7"/>
      <c r="D563" s="7"/>
    </row>
    <row r="564" ht="15.75" customHeight="1">
      <c r="A564" s="7"/>
      <c r="B564" s="7"/>
      <c r="D564" s="7"/>
    </row>
    <row r="565" ht="15.75" customHeight="1">
      <c r="A565" s="7"/>
      <c r="B565" s="7"/>
      <c r="D565" s="7"/>
    </row>
    <row r="566" ht="15.75" customHeight="1">
      <c r="A566" s="7"/>
      <c r="B566" s="7"/>
      <c r="D566" s="7"/>
    </row>
    <row r="567" ht="15.75" customHeight="1">
      <c r="A567" s="7"/>
      <c r="B567" s="7"/>
      <c r="D567" s="7"/>
    </row>
    <row r="568" ht="15.75" customHeight="1">
      <c r="A568" s="7"/>
      <c r="B568" s="7"/>
      <c r="D568" s="7"/>
    </row>
    <row r="569" ht="15.75" customHeight="1">
      <c r="A569" s="7"/>
      <c r="B569" s="7"/>
      <c r="D569" s="7"/>
    </row>
    <row r="570" ht="15.75" customHeight="1">
      <c r="A570" s="7"/>
      <c r="B570" s="7"/>
      <c r="D570" s="7"/>
    </row>
    <row r="571" ht="15.75" customHeight="1">
      <c r="A571" s="7"/>
      <c r="B571" s="7"/>
      <c r="D571" s="7"/>
    </row>
    <row r="572" ht="15.75" customHeight="1">
      <c r="A572" s="7"/>
      <c r="B572" s="7"/>
      <c r="D572" s="7"/>
    </row>
    <row r="573" ht="15.75" customHeight="1">
      <c r="A573" s="7"/>
      <c r="B573" s="7"/>
      <c r="D573" s="7"/>
    </row>
    <row r="574" ht="15.75" customHeight="1">
      <c r="A574" s="7"/>
      <c r="B574" s="7"/>
      <c r="D574" s="7"/>
    </row>
    <row r="575" ht="15.75" customHeight="1">
      <c r="A575" s="7"/>
      <c r="B575" s="7"/>
      <c r="D575" s="7"/>
    </row>
    <row r="576" ht="15.75" customHeight="1">
      <c r="A576" s="7"/>
      <c r="B576" s="7"/>
      <c r="D576" s="7"/>
    </row>
    <row r="577" ht="15.75" customHeight="1">
      <c r="A577" s="7"/>
      <c r="B577" s="7"/>
      <c r="D577" s="7"/>
    </row>
    <row r="578" ht="15.75" customHeight="1">
      <c r="A578" s="7"/>
      <c r="B578" s="7"/>
      <c r="D578" s="7"/>
    </row>
    <row r="579" ht="15.75" customHeight="1">
      <c r="A579" s="7"/>
      <c r="B579" s="7"/>
      <c r="D579" s="7"/>
    </row>
    <row r="580" ht="15.75" customHeight="1">
      <c r="A580" s="7"/>
      <c r="B580" s="7"/>
      <c r="D580" s="7"/>
    </row>
    <row r="581" ht="15.75" customHeight="1">
      <c r="A581" s="7"/>
      <c r="B581" s="7"/>
      <c r="D581" s="7"/>
    </row>
    <row r="582" ht="15.75" customHeight="1">
      <c r="A582" s="7"/>
      <c r="B582" s="7"/>
      <c r="D582" s="7"/>
    </row>
    <row r="583" ht="15.75" customHeight="1">
      <c r="A583" s="7"/>
      <c r="B583" s="7"/>
      <c r="D583" s="7"/>
    </row>
    <row r="584" ht="15.75" customHeight="1">
      <c r="A584" s="7"/>
      <c r="B584" s="7"/>
      <c r="D584" s="7"/>
    </row>
    <row r="585" ht="15.75" customHeight="1">
      <c r="A585" s="7"/>
      <c r="B585" s="7"/>
      <c r="D585" s="7"/>
    </row>
    <row r="586" ht="15.75" customHeight="1">
      <c r="A586" s="7"/>
      <c r="B586" s="7"/>
      <c r="D586" s="7"/>
    </row>
    <row r="587" ht="15.75" customHeight="1">
      <c r="A587" s="7"/>
      <c r="B587" s="7"/>
      <c r="D587" s="7"/>
    </row>
    <row r="588" ht="15.75" customHeight="1">
      <c r="A588" s="7"/>
      <c r="B588" s="7"/>
      <c r="D588" s="7"/>
    </row>
    <row r="589" ht="15.75" customHeight="1">
      <c r="A589" s="7"/>
      <c r="B589" s="7"/>
      <c r="D589" s="7"/>
    </row>
    <row r="590" ht="15.75" customHeight="1">
      <c r="A590" s="7"/>
      <c r="B590" s="7"/>
      <c r="D590" s="7"/>
    </row>
    <row r="591" ht="15.75" customHeight="1">
      <c r="A591" s="7"/>
      <c r="B591" s="7"/>
      <c r="D591" s="7"/>
    </row>
    <row r="592" ht="15.75" customHeight="1">
      <c r="A592" s="7"/>
      <c r="B592" s="7"/>
      <c r="D592" s="7"/>
    </row>
    <row r="593" ht="15.75" customHeight="1">
      <c r="A593" s="7"/>
      <c r="B593" s="7"/>
      <c r="D593" s="7"/>
    </row>
    <row r="594" ht="15.75" customHeight="1">
      <c r="A594" s="7"/>
      <c r="B594" s="7"/>
      <c r="D594" s="7"/>
    </row>
    <row r="595" ht="15.75" customHeight="1">
      <c r="A595" s="7"/>
      <c r="B595" s="7"/>
      <c r="D595" s="7"/>
    </row>
    <row r="596" ht="15.75" customHeight="1">
      <c r="A596" s="7"/>
      <c r="B596" s="7"/>
      <c r="D596" s="7"/>
    </row>
    <row r="597" ht="15.75" customHeight="1">
      <c r="A597" s="7"/>
      <c r="B597" s="7"/>
      <c r="D597" s="7"/>
    </row>
    <row r="598" ht="15.75" customHeight="1">
      <c r="A598" s="7"/>
      <c r="B598" s="7"/>
      <c r="D598" s="7"/>
    </row>
    <row r="599" ht="15.75" customHeight="1">
      <c r="A599" s="7"/>
      <c r="B599" s="7"/>
      <c r="D599" s="7"/>
    </row>
    <row r="600" ht="15.75" customHeight="1">
      <c r="A600" s="7"/>
      <c r="B600" s="7"/>
      <c r="D600" s="7"/>
    </row>
    <row r="601" ht="15.75" customHeight="1">
      <c r="A601" s="7"/>
      <c r="B601" s="7"/>
      <c r="D601" s="7"/>
    </row>
    <row r="602" ht="15.75" customHeight="1">
      <c r="A602" s="7"/>
      <c r="B602" s="7"/>
      <c r="D602" s="7"/>
    </row>
    <row r="603" ht="15.75" customHeight="1">
      <c r="A603" s="7"/>
      <c r="B603" s="7"/>
      <c r="D603" s="7"/>
    </row>
    <row r="604" ht="15.75" customHeight="1">
      <c r="A604" s="7"/>
      <c r="B604" s="7"/>
      <c r="D604" s="7"/>
    </row>
    <row r="605" ht="15.75" customHeight="1">
      <c r="A605" s="7"/>
      <c r="B605" s="7"/>
      <c r="D605" s="7"/>
    </row>
    <row r="606" ht="15.75" customHeight="1">
      <c r="A606" s="7"/>
      <c r="B606" s="7"/>
      <c r="D606" s="7"/>
    </row>
    <row r="607" ht="15.75" customHeight="1">
      <c r="A607" s="7"/>
      <c r="B607" s="7"/>
      <c r="D607" s="7"/>
    </row>
    <row r="608" ht="15.75" customHeight="1">
      <c r="A608" s="7"/>
      <c r="B608" s="7"/>
      <c r="D608" s="7"/>
    </row>
    <row r="609" ht="15.75" customHeight="1">
      <c r="A609" s="7"/>
      <c r="B609" s="7"/>
      <c r="D609" s="7"/>
    </row>
    <row r="610" ht="15.75" customHeight="1">
      <c r="A610" s="7"/>
      <c r="B610" s="7"/>
      <c r="D610" s="7"/>
    </row>
    <row r="611" ht="15.75" customHeight="1">
      <c r="A611" s="7"/>
      <c r="B611" s="7"/>
      <c r="D611" s="7"/>
    </row>
    <row r="612" ht="15.75" customHeight="1">
      <c r="A612" s="7"/>
      <c r="B612" s="7"/>
      <c r="D612" s="7"/>
    </row>
    <row r="613" ht="15.75" customHeight="1">
      <c r="A613" s="7"/>
      <c r="B613" s="7"/>
      <c r="D613" s="7"/>
    </row>
    <row r="614" ht="15.75" customHeight="1">
      <c r="A614" s="7"/>
      <c r="B614" s="7"/>
      <c r="D614" s="7"/>
    </row>
    <row r="615" ht="15.75" customHeight="1">
      <c r="A615" s="7"/>
      <c r="B615" s="7"/>
      <c r="D615" s="7"/>
    </row>
    <row r="616" ht="15.75" customHeight="1">
      <c r="A616" s="7"/>
      <c r="B616" s="7"/>
      <c r="D616" s="7"/>
    </row>
    <row r="617" ht="15.75" customHeight="1">
      <c r="A617" s="7"/>
      <c r="B617" s="7"/>
      <c r="D617" s="7"/>
    </row>
    <row r="618" ht="15.75" customHeight="1">
      <c r="A618" s="7"/>
      <c r="B618" s="7"/>
      <c r="D618" s="7"/>
    </row>
    <row r="619" ht="15.75" customHeight="1">
      <c r="A619" s="7"/>
      <c r="B619" s="7"/>
      <c r="D619" s="7"/>
    </row>
    <row r="620" ht="15.75" customHeight="1">
      <c r="A620" s="7"/>
      <c r="B620" s="7"/>
      <c r="D620" s="7"/>
    </row>
    <row r="621" ht="15.75" customHeight="1">
      <c r="A621" s="7"/>
      <c r="B621" s="7"/>
      <c r="D621" s="7"/>
    </row>
    <row r="622" ht="15.75" customHeight="1">
      <c r="A622" s="7"/>
      <c r="B622" s="7"/>
      <c r="D622" s="7"/>
    </row>
    <row r="623" ht="15.75" customHeight="1">
      <c r="A623" s="7"/>
      <c r="B623" s="7"/>
      <c r="D623" s="7"/>
    </row>
    <row r="624" ht="15.75" customHeight="1">
      <c r="A624" s="7"/>
      <c r="B624" s="7"/>
      <c r="D624" s="7"/>
    </row>
    <row r="625" ht="15.75" customHeight="1">
      <c r="A625" s="7"/>
      <c r="B625" s="7"/>
      <c r="D625" s="7"/>
    </row>
    <row r="626" ht="15.75" customHeight="1">
      <c r="A626" s="7"/>
      <c r="B626" s="7"/>
      <c r="D626" s="7"/>
    </row>
    <row r="627" ht="15.75" customHeight="1">
      <c r="A627" s="7"/>
      <c r="B627" s="7"/>
      <c r="D627" s="7"/>
    </row>
    <row r="628" ht="15.75" customHeight="1">
      <c r="A628" s="7"/>
      <c r="B628" s="7"/>
      <c r="D628" s="7"/>
    </row>
    <row r="629" ht="15.75" customHeight="1">
      <c r="A629" s="7"/>
      <c r="B629" s="7"/>
      <c r="D629" s="7"/>
    </row>
    <row r="630" ht="15.75" customHeight="1">
      <c r="A630" s="7"/>
      <c r="B630" s="7"/>
      <c r="D630" s="7"/>
    </row>
    <row r="631" ht="15.75" customHeight="1">
      <c r="A631" s="7"/>
      <c r="B631" s="7"/>
      <c r="D631" s="7"/>
    </row>
    <row r="632" ht="15.75" customHeight="1">
      <c r="A632" s="7"/>
      <c r="B632" s="7"/>
      <c r="D632" s="7"/>
    </row>
    <row r="633" ht="15.75" customHeight="1">
      <c r="A633" s="7"/>
      <c r="B633" s="7"/>
      <c r="D633" s="7"/>
    </row>
    <row r="634" ht="15.75" customHeight="1">
      <c r="A634" s="7"/>
      <c r="B634" s="7"/>
      <c r="D634" s="7"/>
    </row>
    <row r="635" ht="15.75" customHeight="1">
      <c r="A635" s="7"/>
      <c r="B635" s="7"/>
      <c r="D635" s="7"/>
    </row>
    <row r="636" ht="15.75" customHeight="1">
      <c r="A636" s="7"/>
      <c r="B636" s="7"/>
      <c r="D636" s="7"/>
    </row>
    <row r="637" ht="15.75" customHeight="1">
      <c r="A637" s="7"/>
      <c r="B637" s="7"/>
      <c r="D637" s="7"/>
    </row>
    <row r="638" ht="15.75" customHeight="1">
      <c r="A638" s="7"/>
      <c r="B638" s="7"/>
      <c r="D638" s="7"/>
    </row>
    <row r="639" ht="15.75" customHeight="1">
      <c r="A639" s="7"/>
      <c r="B639" s="7"/>
      <c r="D639" s="7"/>
    </row>
    <row r="640" ht="15.75" customHeight="1">
      <c r="A640" s="7"/>
      <c r="B640" s="7"/>
      <c r="D640" s="7"/>
    </row>
    <row r="641" ht="15.75" customHeight="1">
      <c r="A641" s="7"/>
      <c r="B641" s="7"/>
      <c r="D641" s="7"/>
    </row>
    <row r="642" ht="15.75" customHeight="1">
      <c r="A642" s="7"/>
      <c r="B642" s="7"/>
      <c r="D642" s="7"/>
    </row>
    <row r="643" ht="15.75" customHeight="1">
      <c r="A643" s="7"/>
      <c r="B643" s="7"/>
      <c r="D643" s="7"/>
    </row>
    <row r="644" ht="15.75" customHeight="1">
      <c r="A644" s="7"/>
      <c r="B644" s="7"/>
      <c r="D644" s="7"/>
    </row>
    <row r="645" ht="15.75" customHeight="1">
      <c r="A645" s="7"/>
      <c r="B645" s="7"/>
      <c r="D645" s="7"/>
    </row>
    <row r="646" ht="15.75" customHeight="1">
      <c r="A646" s="7"/>
      <c r="B646" s="7"/>
      <c r="D646" s="7"/>
    </row>
    <row r="647" ht="15.75" customHeight="1">
      <c r="A647" s="7"/>
      <c r="B647" s="7"/>
      <c r="D647" s="7"/>
    </row>
    <row r="648" ht="15.75" customHeight="1">
      <c r="A648" s="7"/>
      <c r="B648" s="7"/>
      <c r="D648" s="7"/>
    </row>
    <row r="649" ht="15.75" customHeight="1">
      <c r="A649" s="7"/>
      <c r="B649" s="7"/>
      <c r="D649" s="7"/>
    </row>
    <row r="650" ht="15.75" customHeight="1">
      <c r="A650" s="7"/>
      <c r="B650" s="7"/>
      <c r="D650" s="7"/>
    </row>
    <row r="651" ht="15.75" customHeight="1">
      <c r="A651" s="7"/>
      <c r="B651" s="7"/>
      <c r="D651" s="7"/>
    </row>
    <row r="652" ht="15.75" customHeight="1">
      <c r="A652" s="7"/>
      <c r="B652" s="7"/>
      <c r="D652" s="7"/>
    </row>
    <row r="653" ht="15.75" customHeight="1">
      <c r="A653" s="7"/>
      <c r="B653" s="7"/>
      <c r="D653" s="7"/>
    </row>
    <row r="654" ht="15.75" customHeight="1">
      <c r="A654" s="7"/>
      <c r="B654" s="7"/>
      <c r="D654" s="7"/>
    </row>
    <row r="655" ht="15.75" customHeight="1">
      <c r="A655" s="7"/>
      <c r="B655" s="7"/>
      <c r="D655" s="7"/>
    </row>
    <row r="656" ht="15.75" customHeight="1">
      <c r="A656" s="7"/>
      <c r="B656" s="7"/>
      <c r="D656" s="7"/>
    </row>
    <row r="657" ht="15.75" customHeight="1">
      <c r="A657" s="7"/>
      <c r="B657" s="7"/>
      <c r="D657" s="7"/>
    </row>
    <row r="658" ht="15.75" customHeight="1">
      <c r="A658" s="7"/>
      <c r="B658" s="7"/>
      <c r="D658" s="7"/>
    </row>
    <row r="659" ht="15.75" customHeight="1">
      <c r="A659" s="7"/>
      <c r="B659" s="7"/>
      <c r="D659" s="7"/>
    </row>
    <row r="660" ht="15.75" customHeight="1">
      <c r="A660" s="7"/>
      <c r="B660" s="7"/>
      <c r="D660" s="7"/>
    </row>
    <row r="661" ht="15.75" customHeight="1">
      <c r="A661" s="7"/>
      <c r="B661" s="7"/>
      <c r="D661" s="7"/>
    </row>
    <row r="662" ht="15.75" customHeight="1">
      <c r="A662" s="7"/>
      <c r="B662" s="7"/>
      <c r="D662" s="7"/>
    </row>
    <row r="663" ht="15.75" customHeight="1">
      <c r="A663" s="7"/>
      <c r="B663" s="7"/>
      <c r="D663" s="7"/>
    </row>
    <row r="664" ht="15.75" customHeight="1">
      <c r="A664" s="7"/>
      <c r="B664" s="7"/>
      <c r="D664" s="7"/>
    </row>
    <row r="665" ht="15.75" customHeight="1">
      <c r="A665" s="7"/>
      <c r="B665" s="7"/>
      <c r="D665" s="7"/>
    </row>
    <row r="666" ht="15.75" customHeight="1">
      <c r="A666" s="7"/>
      <c r="B666" s="7"/>
      <c r="D666" s="7"/>
    </row>
    <row r="667" ht="15.75" customHeight="1">
      <c r="A667" s="7"/>
      <c r="B667" s="7"/>
      <c r="D667" s="7"/>
    </row>
    <row r="668" ht="15.75" customHeight="1">
      <c r="A668" s="7"/>
      <c r="B668" s="7"/>
      <c r="D668" s="7"/>
    </row>
    <row r="669" ht="15.75" customHeight="1">
      <c r="A669" s="7"/>
      <c r="B669" s="7"/>
      <c r="D669" s="7"/>
    </row>
    <row r="670" ht="15.75" customHeight="1">
      <c r="A670" s="7"/>
      <c r="B670" s="7"/>
      <c r="D670" s="7"/>
    </row>
    <row r="671" ht="15.75" customHeight="1">
      <c r="A671" s="7"/>
      <c r="B671" s="7"/>
      <c r="D671" s="7"/>
    </row>
    <row r="672" ht="15.75" customHeight="1">
      <c r="A672" s="7"/>
      <c r="B672" s="7"/>
      <c r="D672" s="7"/>
    </row>
    <row r="673" ht="15.75" customHeight="1">
      <c r="A673" s="7"/>
      <c r="B673" s="7"/>
      <c r="D673" s="7"/>
    </row>
    <row r="674" ht="15.75" customHeight="1">
      <c r="A674" s="7"/>
      <c r="B674" s="7"/>
      <c r="D674" s="7"/>
    </row>
    <row r="675" ht="15.75" customHeight="1">
      <c r="A675" s="7"/>
      <c r="B675" s="7"/>
      <c r="D675" s="7"/>
    </row>
    <row r="676" ht="15.75" customHeight="1">
      <c r="A676" s="7"/>
      <c r="B676" s="7"/>
      <c r="D676" s="7"/>
    </row>
    <row r="677" ht="15.75" customHeight="1">
      <c r="A677" s="7"/>
      <c r="B677" s="7"/>
      <c r="D677" s="7"/>
    </row>
    <row r="678" ht="15.75" customHeight="1">
      <c r="A678" s="7"/>
      <c r="B678" s="7"/>
      <c r="D678" s="7"/>
    </row>
    <row r="679" ht="15.75" customHeight="1">
      <c r="A679" s="7"/>
      <c r="B679" s="7"/>
      <c r="D679" s="7"/>
    </row>
    <row r="680" ht="15.75" customHeight="1">
      <c r="A680" s="7"/>
      <c r="B680" s="7"/>
      <c r="D680" s="7"/>
    </row>
    <row r="681" ht="15.75" customHeight="1">
      <c r="A681" s="7"/>
      <c r="B681" s="7"/>
      <c r="D681" s="7"/>
    </row>
    <row r="682" ht="15.75" customHeight="1">
      <c r="A682" s="7"/>
      <c r="B682" s="7"/>
      <c r="D682" s="7"/>
    </row>
    <row r="683" ht="15.75" customHeight="1">
      <c r="A683" s="7"/>
      <c r="B683" s="7"/>
      <c r="D683" s="7"/>
    </row>
    <row r="684" ht="15.75" customHeight="1">
      <c r="A684" s="7"/>
      <c r="B684" s="7"/>
      <c r="D684" s="7"/>
    </row>
    <row r="685" ht="15.75" customHeight="1">
      <c r="A685" s="7"/>
      <c r="B685" s="7"/>
      <c r="D685" s="7"/>
    </row>
    <row r="686" ht="15.75" customHeight="1">
      <c r="A686" s="7"/>
      <c r="B686" s="7"/>
      <c r="D686" s="7"/>
    </row>
    <row r="687" ht="15.75" customHeight="1">
      <c r="A687" s="7"/>
      <c r="B687" s="7"/>
      <c r="D687" s="7"/>
    </row>
    <row r="688" ht="15.75" customHeight="1">
      <c r="A688" s="7"/>
      <c r="B688" s="7"/>
      <c r="D688" s="7"/>
    </row>
    <row r="689" ht="15.75" customHeight="1">
      <c r="A689" s="7"/>
      <c r="B689" s="7"/>
      <c r="D689" s="7"/>
    </row>
    <row r="690" ht="15.75" customHeight="1">
      <c r="A690" s="7"/>
      <c r="B690" s="7"/>
      <c r="D690" s="7"/>
    </row>
    <row r="691" ht="15.75" customHeight="1">
      <c r="A691" s="7"/>
      <c r="B691" s="7"/>
      <c r="D691" s="7"/>
    </row>
    <row r="692" ht="15.75" customHeight="1">
      <c r="A692" s="7"/>
      <c r="B692" s="7"/>
      <c r="D692" s="7"/>
    </row>
    <row r="693" ht="15.75" customHeight="1">
      <c r="A693" s="7"/>
      <c r="B693" s="7"/>
      <c r="D693" s="7"/>
    </row>
    <row r="694" ht="15.75" customHeight="1">
      <c r="A694" s="7"/>
      <c r="B694" s="7"/>
      <c r="D694" s="7"/>
    </row>
    <row r="695" ht="15.75" customHeight="1">
      <c r="A695" s="7"/>
      <c r="B695" s="7"/>
      <c r="D695" s="7"/>
    </row>
    <row r="696" ht="15.75" customHeight="1">
      <c r="A696" s="7"/>
      <c r="B696" s="7"/>
      <c r="D696" s="7"/>
    </row>
    <row r="697" ht="15.75" customHeight="1">
      <c r="A697" s="7"/>
      <c r="B697" s="7"/>
      <c r="D697" s="7"/>
    </row>
    <row r="698" ht="15.75" customHeight="1">
      <c r="A698" s="7"/>
      <c r="B698" s="7"/>
      <c r="D698" s="7"/>
    </row>
    <row r="699" ht="15.75" customHeight="1">
      <c r="A699" s="7"/>
      <c r="B699" s="7"/>
      <c r="D699" s="7"/>
    </row>
    <row r="700" ht="15.75" customHeight="1">
      <c r="A700" s="7"/>
      <c r="B700" s="7"/>
      <c r="D700" s="7"/>
    </row>
    <row r="701" ht="15.75" customHeight="1">
      <c r="A701" s="7"/>
      <c r="B701" s="7"/>
      <c r="D701" s="7"/>
    </row>
    <row r="702" ht="15.75" customHeight="1">
      <c r="A702" s="7"/>
      <c r="B702" s="7"/>
      <c r="D702" s="7"/>
    </row>
    <row r="703" ht="15.75" customHeight="1">
      <c r="A703" s="7"/>
      <c r="B703" s="7"/>
      <c r="D703" s="7"/>
    </row>
    <row r="704" ht="15.75" customHeight="1">
      <c r="A704" s="7"/>
      <c r="B704" s="7"/>
      <c r="D704" s="7"/>
    </row>
    <row r="705" ht="15.75" customHeight="1">
      <c r="A705" s="7"/>
      <c r="B705" s="7"/>
      <c r="D705" s="7"/>
    </row>
    <row r="706" ht="15.75" customHeight="1">
      <c r="A706" s="7"/>
      <c r="B706" s="7"/>
      <c r="D706" s="7"/>
    </row>
    <row r="707" ht="15.75" customHeight="1">
      <c r="A707" s="7"/>
      <c r="B707" s="7"/>
      <c r="D707" s="7"/>
    </row>
    <row r="708" ht="15.75" customHeight="1">
      <c r="A708" s="7"/>
      <c r="B708" s="7"/>
      <c r="D708" s="7"/>
    </row>
    <row r="709" ht="15.75" customHeight="1">
      <c r="A709" s="7"/>
      <c r="B709" s="7"/>
      <c r="D709" s="7"/>
    </row>
    <row r="710" ht="15.75" customHeight="1">
      <c r="A710" s="7"/>
      <c r="B710" s="7"/>
      <c r="D710" s="7"/>
    </row>
    <row r="711" ht="15.75" customHeight="1">
      <c r="A711" s="7"/>
      <c r="B711" s="7"/>
      <c r="D711" s="7"/>
    </row>
    <row r="712" ht="15.75" customHeight="1">
      <c r="A712" s="7"/>
      <c r="B712" s="7"/>
      <c r="D712" s="7"/>
    </row>
    <row r="713" ht="15.75" customHeight="1">
      <c r="A713" s="7"/>
      <c r="B713" s="7"/>
      <c r="D713" s="7"/>
    </row>
    <row r="714" ht="15.75" customHeight="1">
      <c r="A714" s="7"/>
      <c r="B714" s="7"/>
      <c r="D714" s="7"/>
    </row>
    <row r="715" ht="15.75" customHeight="1">
      <c r="A715" s="7"/>
      <c r="B715" s="7"/>
      <c r="D715" s="7"/>
    </row>
    <row r="716" ht="15.75" customHeight="1">
      <c r="A716" s="7"/>
      <c r="B716" s="7"/>
      <c r="D716" s="7"/>
    </row>
    <row r="717" ht="15.75" customHeight="1">
      <c r="A717" s="7"/>
      <c r="B717" s="7"/>
      <c r="D717" s="7"/>
    </row>
    <row r="718" ht="15.75" customHeight="1">
      <c r="A718" s="7"/>
      <c r="B718" s="7"/>
      <c r="D718" s="7"/>
    </row>
    <row r="719" ht="15.75" customHeight="1">
      <c r="A719" s="7"/>
      <c r="B719" s="7"/>
      <c r="D719" s="7"/>
    </row>
    <row r="720" ht="15.75" customHeight="1">
      <c r="A720" s="7"/>
      <c r="B720" s="7"/>
      <c r="D720" s="7"/>
    </row>
    <row r="721" ht="15.75" customHeight="1">
      <c r="A721" s="7"/>
      <c r="B721" s="7"/>
      <c r="D721" s="7"/>
    </row>
    <row r="722" ht="15.75" customHeight="1">
      <c r="A722" s="7"/>
      <c r="B722" s="7"/>
      <c r="D722" s="7"/>
    </row>
    <row r="723" ht="15.75" customHeight="1">
      <c r="A723" s="7"/>
      <c r="B723" s="7"/>
      <c r="D723" s="7"/>
    </row>
    <row r="724" ht="15.75" customHeight="1">
      <c r="A724" s="7"/>
      <c r="B724" s="7"/>
      <c r="D724" s="7"/>
    </row>
    <row r="725" ht="15.75" customHeight="1">
      <c r="A725" s="7"/>
      <c r="B725" s="7"/>
      <c r="D725" s="7"/>
    </row>
    <row r="726" ht="15.75" customHeight="1">
      <c r="A726" s="7"/>
      <c r="B726" s="7"/>
      <c r="D726" s="7"/>
    </row>
    <row r="727" ht="15.75" customHeight="1">
      <c r="A727" s="7"/>
      <c r="B727" s="7"/>
      <c r="D727" s="7"/>
    </row>
    <row r="728" ht="15.75" customHeight="1">
      <c r="A728" s="7"/>
      <c r="B728" s="7"/>
      <c r="D728" s="7"/>
    </row>
    <row r="729" ht="15.75" customHeight="1">
      <c r="A729" s="7"/>
      <c r="B729" s="7"/>
      <c r="D729" s="7"/>
    </row>
    <row r="730" ht="15.75" customHeight="1">
      <c r="A730" s="7"/>
      <c r="B730" s="7"/>
      <c r="D730" s="7"/>
    </row>
    <row r="731" ht="15.75" customHeight="1">
      <c r="A731" s="7"/>
      <c r="B731" s="7"/>
      <c r="D731" s="7"/>
    </row>
    <row r="732" ht="15.75" customHeight="1">
      <c r="A732" s="7"/>
      <c r="B732" s="7"/>
      <c r="D732" s="7"/>
    </row>
    <row r="733" ht="15.75" customHeight="1">
      <c r="A733" s="7"/>
      <c r="B733" s="7"/>
      <c r="D733" s="7"/>
    </row>
    <row r="734" ht="15.75" customHeight="1">
      <c r="A734" s="7"/>
      <c r="B734" s="7"/>
      <c r="D734" s="7"/>
    </row>
    <row r="735" ht="15.75" customHeight="1">
      <c r="A735" s="7"/>
      <c r="B735" s="7"/>
      <c r="D735" s="7"/>
    </row>
    <row r="736" ht="15.75" customHeight="1">
      <c r="A736" s="7"/>
      <c r="B736" s="7"/>
      <c r="D736" s="7"/>
    </row>
    <row r="737" ht="15.75" customHeight="1">
      <c r="A737" s="7"/>
      <c r="B737" s="7"/>
      <c r="D737" s="7"/>
    </row>
    <row r="738" ht="15.75" customHeight="1">
      <c r="A738" s="7"/>
      <c r="B738" s="7"/>
      <c r="D738" s="7"/>
    </row>
    <row r="739" ht="15.75" customHeight="1">
      <c r="A739" s="7"/>
      <c r="B739" s="7"/>
      <c r="D739" s="7"/>
    </row>
    <row r="740" ht="15.75" customHeight="1">
      <c r="A740" s="7"/>
      <c r="B740" s="7"/>
      <c r="D740" s="7"/>
    </row>
    <row r="741" ht="15.75" customHeight="1">
      <c r="A741" s="7"/>
      <c r="B741" s="7"/>
      <c r="D741" s="7"/>
    </row>
    <row r="742" ht="15.75" customHeight="1">
      <c r="A742" s="7"/>
      <c r="B742" s="7"/>
      <c r="D742" s="7"/>
    </row>
    <row r="743" ht="15.75" customHeight="1">
      <c r="A743" s="7"/>
      <c r="B743" s="7"/>
      <c r="D743" s="7"/>
    </row>
    <row r="744" ht="15.75" customHeight="1">
      <c r="A744" s="7"/>
      <c r="B744" s="7"/>
      <c r="D744" s="7"/>
    </row>
    <row r="745" ht="15.75" customHeight="1">
      <c r="A745" s="7"/>
      <c r="B745" s="7"/>
      <c r="D745" s="7"/>
    </row>
    <row r="746" ht="15.75" customHeight="1">
      <c r="A746" s="7"/>
      <c r="B746" s="7"/>
      <c r="D746" s="7"/>
    </row>
    <row r="747" ht="15.75" customHeight="1">
      <c r="A747" s="7"/>
      <c r="B747" s="7"/>
      <c r="D747" s="7"/>
    </row>
    <row r="748" ht="15.75" customHeight="1">
      <c r="A748" s="7"/>
      <c r="B748" s="7"/>
      <c r="D748" s="7"/>
    </row>
    <row r="749" ht="15.75" customHeight="1">
      <c r="A749" s="7"/>
      <c r="B749" s="7"/>
      <c r="D749" s="7"/>
    </row>
    <row r="750" ht="15.75" customHeight="1">
      <c r="A750" s="7"/>
      <c r="B750" s="7"/>
      <c r="D750" s="7"/>
    </row>
    <row r="751" ht="15.75" customHeight="1">
      <c r="A751" s="7"/>
      <c r="B751" s="7"/>
      <c r="D751" s="7"/>
    </row>
    <row r="752" ht="15.75" customHeight="1">
      <c r="A752" s="7"/>
      <c r="B752" s="7"/>
      <c r="D752" s="7"/>
    </row>
    <row r="753" ht="15.75" customHeight="1">
      <c r="A753" s="7"/>
      <c r="B753" s="7"/>
      <c r="D753" s="7"/>
    </row>
    <row r="754" ht="15.75" customHeight="1">
      <c r="A754" s="7"/>
      <c r="B754" s="7"/>
      <c r="D754" s="7"/>
    </row>
    <row r="755" ht="15.75" customHeight="1">
      <c r="A755" s="7"/>
      <c r="B755" s="7"/>
      <c r="D755" s="7"/>
    </row>
    <row r="756" ht="15.75" customHeight="1">
      <c r="A756" s="7"/>
      <c r="B756" s="7"/>
      <c r="D756" s="7"/>
    </row>
    <row r="757" ht="15.75" customHeight="1">
      <c r="A757" s="7"/>
      <c r="B757" s="7"/>
      <c r="D757" s="7"/>
    </row>
    <row r="758" ht="15.75" customHeight="1">
      <c r="A758" s="7"/>
      <c r="B758" s="7"/>
      <c r="D758" s="7"/>
    </row>
    <row r="759" ht="15.75" customHeight="1">
      <c r="A759" s="7"/>
      <c r="B759" s="7"/>
      <c r="D759" s="7"/>
    </row>
    <row r="760" ht="15.75" customHeight="1">
      <c r="A760" s="7"/>
      <c r="B760" s="7"/>
      <c r="D760" s="7"/>
    </row>
    <row r="761" ht="15.75" customHeight="1">
      <c r="A761" s="7"/>
      <c r="B761" s="7"/>
      <c r="D761" s="7"/>
    </row>
    <row r="762" ht="15.75" customHeight="1">
      <c r="A762" s="7"/>
      <c r="B762" s="7"/>
      <c r="D762" s="7"/>
    </row>
    <row r="763" ht="15.75" customHeight="1">
      <c r="A763" s="7"/>
      <c r="B763" s="7"/>
      <c r="D763" s="7"/>
    </row>
    <row r="764" ht="15.75" customHeight="1">
      <c r="A764" s="7"/>
      <c r="B764" s="7"/>
      <c r="D764" s="7"/>
    </row>
    <row r="765" ht="15.75" customHeight="1">
      <c r="A765" s="7"/>
      <c r="B765" s="7"/>
      <c r="D765" s="7"/>
    </row>
    <row r="766" ht="15.75" customHeight="1">
      <c r="A766" s="7"/>
      <c r="B766" s="7"/>
      <c r="D766" s="7"/>
    </row>
    <row r="767" ht="15.75" customHeight="1">
      <c r="A767" s="7"/>
      <c r="B767" s="7"/>
      <c r="D767" s="7"/>
    </row>
    <row r="768" ht="15.75" customHeight="1">
      <c r="A768" s="7"/>
      <c r="B768" s="7"/>
      <c r="D768" s="7"/>
    </row>
    <row r="769" ht="15.75" customHeight="1">
      <c r="A769" s="7"/>
      <c r="B769" s="7"/>
      <c r="D769" s="7"/>
    </row>
    <row r="770" ht="15.75" customHeight="1">
      <c r="A770" s="7"/>
      <c r="B770" s="7"/>
      <c r="D770" s="7"/>
    </row>
    <row r="771" ht="15.75" customHeight="1">
      <c r="A771" s="7"/>
      <c r="B771" s="7"/>
      <c r="D771" s="7"/>
    </row>
    <row r="772" ht="15.75" customHeight="1">
      <c r="A772" s="7"/>
      <c r="B772" s="7"/>
      <c r="D772" s="7"/>
    </row>
    <row r="773" ht="15.75" customHeight="1">
      <c r="A773" s="7"/>
      <c r="B773" s="7"/>
      <c r="D773" s="7"/>
    </row>
    <row r="774" ht="15.75" customHeight="1">
      <c r="A774" s="7"/>
      <c r="B774" s="7"/>
      <c r="D774" s="7"/>
    </row>
    <row r="775" ht="15.75" customHeight="1">
      <c r="A775" s="7"/>
      <c r="B775" s="7"/>
      <c r="D775" s="7"/>
    </row>
    <row r="776" ht="15.75" customHeight="1">
      <c r="A776" s="7"/>
      <c r="B776" s="7"/>
      <c r="D776" s="7"/>
    </row>
    <row r="777" ht="15.75" customHeight="1">
      <c r="A777" s="7"/>
      <c r="B777" s="7"/>
      <c r="D777" s="7"/>
    </row>
    <row r="778" ht="15.75" customHeight="1">
      <c r="A778" s="7"/>
      <c r="B778" s="7"/>
      <c r="D778" s="7"/>
    </row>
    <row r="779" ht="15.75" customHeight="1">
      <c r="A779" s="7"/>
      <c r="B779" s="7"/>
      <c r="D779" s="7"/>
    </row>
    <row r="780" ht="15.75" customHeight="1">
      <c r="A780" s="7"/>
      <c r="B780" s="7"/>
      <c r="D780" s="7"/>
    </row>
    <row r="781" ht="15.75" customHeight="1">
      <c r="A781" s="7"/>
      <c r="B781" s="7"/>
      <c r="D781" s="7"/>
    </row>
    <row r="782" ht="15.75" customHeight="1">
      <c r="A782" s="7"/>
      <c r="B782" s="7"/>
      <c r="D782" s="7"/>
    </row>
    <row r="783" ht="15.75" customHeight="1">
      <c r="A783" s="7"/>
      <c r="B783" s="7"/>
      <c r="D783" s="7"/>
    </row>
    <row r="784" ht="15.75" customHeight="1">
      <c r="A784" s="7"/>
      <c r="B784" s="7"/>
      <c r="D784" s="7"/>
    </row>
    <row r="785" ht="15.75" customHeight="1">
      <c r="A785" s="7"/>
      <c r="B785" s="7"/>
      <c r="D785" s="7"/>
    </row>
    <row r="786" ht="15.75" customHeight="1">
      <c r="A786" s="7"/>
      <c r="B786" s="7"/>
      <c r="D786" s="7"/>
    </row>
    <row r="787" ht="15.75" customHeight="1">
      <c r="A787" s="7"/>
      <c r="B787" s="7"/>
      <c r="D787" s="7"/>
    </row>
    <row r="788" ht="15.75" customHeight="1">
      <c r="A788" s="7"/>
      <c r="B788" s="7"/>
      <c r="D788" s="7"/>
    </row>
    <row r="789" ht="15.75" customHeight="1">
      <c r="A789" s="7"/>
      <c r="B789" s="7"/>
      <c r="D789" s="7"/>
    </row>
    <row r="790" ht="15.75" customHeight="1">
      <c r="A790" s="7"/>
      <c r="B790" s="7"/>
      <c r="D790" s="7"/>
    </row>
    <row r="791" ht="15.75" customHeight="1">
      <c r="A791" s="7"/>
      <c r="B791" s="7"/>
      <c r="D791" s="7"/>
    </row>
    <row r="792" ht="15.75" customHeight="1">
      <c r="A792" s="7"/>
      <c r="B792" s="7"/>
      <c r="D792" s="7"/>
    </row>
    <row r="793" ht="15.75" customHeight="1">
      <c r="A793" s="7"/>
      <c r="B793" s="7"/>
      <c r="D793" s="7"/>
    </row>
    <row r="794" ht="15.75" customHeight="1">
      <c r="A794" s="7"/>
      <c r="B794" s="7"/>
      <c r="D794" s="7"/>
    </row>
    <row r="795" ht="15.75" customHeight="1">
      <c r="A795" s="7"/>
      <c r="B795" s="7"/>
      <c r="D795" s="7"/>
    </row>
    <row r="796" ht="15.75" customHeight="1">
      <c r="A796" s="7"/>
      <c r="B796" s="7"/>
      <c r="D796" s="7"/>
    </row>
    <row r="797" ht="15.75" customHeight="1">
      <c r="A797" s="7"/>
      <c r="B797" s="7"/>
      <c r="D797" s="7"/>
    </row>
    <row r="798" ht="15.75" customHeight="1">
      <c r="A798" s="7"/>
      <c r="B798" s="7"/>
      <c r="D798" s="7"/>
    </row>
    <row r="799" ht="15.75" customHeight="1">
      <c r="A799" s="7"/>
      <c r="B799" s="7"/>
      <c r="D799" s="7"/>
    </row>
    <row r="800" ht="15.75" customHeight="1">
      <c r="A800" s="7"/>
      <c r="B800" s="7"/>
      <c r="D800" s="7"/>
    </row>
    <row r="801" ht="15.75" customHeight="1">
      <c r="A801" s="7"/>
      <c r="B801" s="7"/>
      <c r="D801" s="7"/>
    </row>
    <row r="802" ht="15.75" customHeight="1">
      <c r="A802" s="7"/>
      <c r="B802" s="7"/>
      <c r="D802" s="7"/>
    </row>
    <row r="803" ht="15.75" customHeight="1">
      <c r="A803" s="7"/>
      <c r="B803" s="7"/>
      <c r="D803" s="7"/>
    </row>
    <row r="804" ht="15.75" customHeight="1">
      <c r="A804" s="7"/>
      <c r="B804" s="7"/>
      <c r="D804" s="7"/>
    </row>
    <row r="805" ht="15.75" customHeight="1">
      <c r="A805" s="7"/>
      <c r="B805" s="7"/>
      <c r="D805" s="7"/>
    </row>
    <row r="806" ht="15.75" customHeight="1">
      <c r="A806" s="7"/>
      <c r="B806" s="7"/>
      <c r="D806" s="7"/>
    </row>
    <row r="807" ht="15.75" customHeight="1">
      <c r="A807" s="7"/>
      <c r="B807" s="7"/>
      <c r="D807" s="7"/>
    </row>
    <row r="808" ht="15.75" customHeight="1">
      <c r="A808" s="7"/>
      <c r="B808" s="7"/>
      <c r="D808" s="7"/>
    </row>
    <row r="809" ht="15.75" customHeight="1">
      <c r="A809" s="7"/>
      <c r="B809" s="7"/>
      <c r="D809" s="7"/>
    </row>
    <row r="810" ht="15.75" customHeight="1">
      <c r="A810" s="7"/>
      <c r="B810" s="7"/>
      <c r="D810" s="7"/>
    </row>
    <row r="811" ht="15.75" customHeight="1">
      <c r="A811" s="7"/>
      <c r="B811" s="7"/>
      <c r="D811" s="7"/>
    </row>
    <row r="812" ht="15.75" customHeight="1">
      <c r="A812" s="7"/>
      <c r="B812" s="7"/>
      <c r="D812" s="7"/>
    </row>
    <row r="813" ht="15.75" customHeight="1">
      <c r="A813" s="7"/>
      <c r="B813" s="7"/>
      <c r="D813" s="7"/>
    </row>
    <row r="814" ht="15.75" customHeight="1">
      <c r="A814" s="7"/>
      <c r="B814" s="7"/>
      <c r="D814" s="7"/>
    </row>
    <row r="815" ht="15.75" customHeight="1">
      <c r="A815" s="7"/>
      <c r="B815" s="7"/>
      <c r="D815" s="7"/>
    </row>
    <row r="816" ht="15.75" customHeight="1">
      <c r="A816" s="7"/>
      <c r="B816" s="7"/>
      <c r="D816" s="7"/>
    </row>
    <row r="817" ht="15.75" customHeight="1">
      <c r="A817" s="7"/>
      <c r="B817" s="7"/>
      <c r="D817" s="7"/>
    </row>
    <row r="818" ht="15.75" customHeight="1">
      <c r="A818" s="7"/>
      <c r="B818" s="7"/>
      <c r="D818" s="7"/>
    </row>
    <row r="819" ht="15.75" customHeight="1">
      <c r="A819" s="7"/>
      <c r="B819" s="7"/>
      <c r="D819" s="7"/>
    </row>
    <row r="820" ht="15.75" customHeight="1">
      <c r="A820" s="7"/>
      <c r="B820" s="7"/>
      <c r="D820" s="7"/>
    </row>
    <row r="821" ht="15.75" customHeight="1">
      <c r="A821" s="7"/>
      <c r="B821" s="7"/>
      <c r="D821" s="7"/>
    </row>
    <row r="822" ht="15.75" customHeight="1">
      <c r="A822" s="7"/>
      <c r="B822" s="7"/>
      <c r="D822" s="7"/>
    </row>
    <row r="823" ht="15.75" customHeight="1">
      <c r="A823" s="7"/>
      <c r="B823" s="7"/>
      <c r="D823" s="7"/>
    </row>
    <row r="824" ht="15.75" customHeight="1">
      <c r="A824" s="7"/>
      <c r="B824" s="7"/>
      <c r="D824" s="7"/>
    </row>
    <row r="825" ht="15.75" customHeight="1">
      <c r="A825" s="7"/>
      <c r="B825" s="7"/>
      <c r="D825" s="7"/>
    </row>
    <row r="826" ht="15.75" customHeight="1">
      <c r="A826" s="7"/>
      <c r="B826" s="7"/>
      <c r="D826" s="7"/>
    </row>
    <row r="827" ht="15.75" customHeight="1">
      <c r="A827" s="7"/>
      <c r="B827" s="7"/>
      <c r="D827" s="7"/>
    </row>
    <row r="828" ht="15.75" customHeight="1">
      <c r="A828" s="7"/>
      <c r="B828" s="7"/>
      <c r="D828" s="7"/>
    </row>
    <row r="829" ht="15.75" customHeight="1">
      <c r="A829" s="7"/>
      <c r="B829" s="7"/>
      <c r="D829" s="7"/>
    </row>
    <row r="830" ht="15.75" customHeight="1">
      <c r="A830" s="7"/>
      <c r="B830" s="7"/>
      <c r="D830" s="7"/>
    </row>
    <row r="831" ht="15.75" customHeight="1">
      <c r="A831" s="7"/>
      <c r="B831" s="7"/>
      <c r="D831" s="7"/>
    </row>
    <row r="832" ht="15.75" customHeight="1">
      <c r="A832" s="7"/>
      <c r="B832" s="7"/>
      <c r="D832" s="7"/>
    </row>
    <row r="833" ht="15.75" customHeight="1">
      <c r="A833" s="7"/>
      <c r="B833" s="7"/>
      <c r="D833" s="7"/>
    </row>
    <row r="834" ht="15.75" customHeight="1">
      <c r="A834" s="7"/>
      <c r="B834" s="7"/>
      <c r="D834" s="7"/>
    </row>
    <row r="835" ht="15.75" customHeight="1">
      <c r="A835" s="7"/>
      <c r="B835" s="7"/>
      <c r="D835" s="7"/>
    </row>
    <row r="836" ht="15.75" customHeight="1">
      <c r="A836" s="7"/>
      <c r="B836" s="7"/>
      <c r="D836" s="7"/>
    </row>
    <row r="837" ht="15.75" customHeight="1">
      <c r="A837" s="7"/>
      <c r="B837" s="7"/>
      <c r="D837" s="7"/>
    </row>
    <row r="838" ht="15.75" customHeight="1">
      <c r="A838" s="7"/>
      <c r="B838" s="7"/>
      <c r="D838" s="7"/>
    </row>
    <row r="839" ht="15.75" customHeight="1">
      <c r="A839" s="7"/>
      <c r="B839" s="7"/>
      <c r="D839" s="7"/>
    </row>
    <row r="840" ht="15.75" customHeight="1">
      <c r="A840" s="7"/>
      <c r="B840" s="7"/>
      <c r="D840" s="7"/>
    </row>
    <row r="841" ht="15.75" customHeight="1">
      <c r="A841" s="7"/>
      <c r="B841" s="7"/>
      <c r="D841" s="7"/>
    </row>
    <row r="842" ht="15.75" customHeight="1">
      <c r="A842" s="7"/>
      <c r="B842" s="7"/>
      <c r="D842" s="7"/>
    </row>
    <row r="843" ht="15.75" customHeight="1">
      <c r="A843" s="7"/>
      <c r="B843" s="7"/>
      <c r="D843" s="7"/>
    </row>
    <row r="844" ht="15.75" customHeight="1">
      <c r="A844" s="7"/>
      <c r="B844" s="7"/>
      <c r="D844" s="7"/>
    </row>
    <row r="845" ht="15.75" customHeight="1">
      <c r="A845" s="7"/>
      <c r="B845" s="7"/>
      <c r="D845" s="7"/>
    </row>
    <row r="846" ht="15.75" customHeight="1">
      <c r="A846" s="7"/>
      <c r="B846" s="7"/>
      <c r="D846" s="7"/>
    </row>
    <row r="847" ht="15.75" customHeight="1">
      <c r="A847" s="7"/>
      <c r="B847" s="7"/>
      <c r="D847" s="7"/>
    </row>
    <row r="848" ht="15.75" customHeight="1">
      <c r="A848" s="7"/>
      <c r="B848" s="7"/>
      <c r="D848" s="7"/>
    </row>
    <row r="849" ht="15.75" customHeight="1">
      <c r="A849" s="7"/>
      <c r="B849" s="7"/>
      <c r="D849" s="7"/>
    </row>
    <row r="850" ht="15.75" customHeight="1">
      <c r="A850" s="7"/>
      <c r="B850" s="7"/>
      <c r="D850" s="7"/>
    </row>
    <row r="851" ht="15.75" customHeight="1">
      <c r="A851" s="7"/>
      <c r="B851" s="7"/>
      <c r="D851" s="7"/>
    </row>
    <row r="852" ht="15.75" customHeight="1">
      <c r="A852" s="7"/>
      <c r="B852" s="7"/>
      <c r="D852" s="7"/>
    </row>
    <row r="853" ht="15.75" customHeight="1">
      <c r="A853" s="7"/>
      <c r="B853" s="7"/>
      <c r="D853" s="7"/>
    </row>
    <row r="854" ht="15.75" customHeight="1">
      <c r="A854" s="7"/>
      <c r="B854" s="7"/>
      <c r="D854" s="7"/>
    </row>
    <row r="855" ht="15.75" customHeight="1">
      <c r="A855" s="7"/>
      <c r="B855" s="7"/>
      <c r="D855" s="7"/>
    </row>
    <row r="856" ht="15.75" customHeight="1">
      <c r="A856" s="7"/>
      <c r="B856" s="7"/>
      <c r="D856" s="7"/>
    </row>
    <row r="857" ht="15.75" customHeight="1">
      <c r="A857" s="7"/>
      <c r="B857" s="7"/>
      <c r="D857" s="7"/>
    </row>
    <row r="858" ht="15.75" customHeight="1">
      <c r="A858" s="7"/>
      <c r="B858" s="7"/>
      <c r="D858" s="7"/>
    </row>
    <row r="859" ht="15.75" customHeight="1">
      <c r="A859" s="7"/>
      <c r="B859" s="7"/>
      <c r="D859" s="7"/>
    </row>
    <row r="860" ht="15.75" customHeight="1">
      <c r="A860" s="7"/>
      <c r="B860" s="7"/>
      <c r="D860" s="7"/>
    </row>
    <row r="861" ht="15.75" customHeight="1">
      <c r="A861" s="7"/>
      <c r="B861" s="7"/>
      <c r="D861" s="7"/>
    </row>
    <row r="862" ht="15.75" customHeight="1">
      <c r="A862" s="7"/>
      <c r="B862" s="7"/>
      <c r="D862" s="7"/>
    </row>
    <row r="863" ht="15.75" customHeight="1">
      <c r="A863" s="7"/>
      <c r="B863" s="7"/>
      <c r="D863" s="7"/>
    </row>
    <row r="864" ht="15.75" customHeight="1">
      <c r="A864" s="7"/>
      <c r="B864" s="7"/>
      <c r="D864" s="7"/>
    </row>
    <row r="865" ht="15.75" customHeight="1">
      <c r="A865" s="7"/>
      <c r="B865" s="7"/>
      <c r="D865" s="7"/>
    </row>
    <row r="866" ht="15.75" customHeight="1">
      <c r="A866" s="7"/>
      <c r="B866" s="7"/>
      <c r="D866" s="7"/>
    </row>
    <row r="867" ht="15.75" customHeight="1">
      <c r="A867" s="7"/>
      <c r="B867" s="7"/>
      <c r="D867" s="7"/>
    </row>
    <row r="868" ht="15.75" customHeight="1">
      <c r="A868" s="7"/>
      <c r="B868" s="7"/>
      <c r="D868" s="7"/>
    </row>
    <row r="869" ht="15.75" customHeight="1">
      <c r="A869" s="7"/>
      <c r="B869" s="7"/>
      <c r="D869" s="7"/>
    </row>
    <row r="870" ht="15.75" customHeight="1">
      <c r="A870" s="7"/>
      <c r="B870" s="7"/>
      <c r="D870" s="7"/>
    </row>
    <row r="871" ht="15.75" customHeight="1">
      <c r="A871" s="7"/>
      <c r="B871" s="7"/>
      <c r="D871" s="7"/>
    </row>
    <row r="872" ht="15.75" customHeight="1">
      <c r="A872" s="7"/>
      <c r="B872" s="7"/>
      <c r="D872" s="7"/>
    </row>
    <row r="873" ht="15.75" customHeight="1">
      <c r="A873" s="7"/>
      <c r="B873" s="7"/>
      <c r="D873" s="7"/>
    </row>
    <row r="874" ht="15.75" customHeight="1">
      <c r="A874" s="7"/>
      <c r="B874" s="7"/>
      <c r="D874" s="7"/>
    </row>
    <row r="875" ht="15.75" customHeight="1">
      <c r="A875" s="7"/>
      <c r="B875" s="7"/>
      <c r="D875" s="7"/>
    </row>
    <row r="876" ht="15.75" customHeight="1">
      <c r="A876" s="7"/>
      <c r="B876" s="7"/>
      <c r="D876" s="7"/>
    </row>
    <row r="877" ht="15.75" customHeight="1">
      <c r="A877" s="7"/>
      <c r="B877" s="7"/>
      <c r="D877" s="7"/>
    </row>
    <row r="878" ht="15.75" customHeight="1">
      <c r="A878" s="7"/>
      <c r="B878" s="7"/>
      <c r="D878" s="7"/>
    </row>
    <row r="879" ht="15.75" customHeight="1">
      <c r="A879" s="7"/>
      <c r="B879" s="7"/>
      <c r="D879" s="7"/>
    </row>
    <row r="880" ht="15.75" customHeight="1">
      <c r="A880" s="7"/>
      <c r="B880" s="7"/>
      <c r="D880" s="7"/>
    </row>
    <row r="881" ht="15.75" customHeight="1">
      <c r="A881" s="7"/>
      <c r="B881" s="7"/>
      <c r="D881" s="7"/>
    </row>
    <row r="882" ht="15.75" customHeight="1">
      <c r="A882" s="7"/>
      <c r="B882" s="7"/>
      <c r="D882" s="7"/>
    </row>
    <row r="883" ht="15.75" customHeight="1">
      <c r="A883" s="7"/>
      <c r="B883" s="7"/>
      <c r="D883" s="7"/>
    </row>
    <row r="884" ht="15.75" customHeight="1">
      <c r="A884" s="7"/>
      <c r="B884" s="7"/>
      <c r="D884" s="7"/>
    </row>
    <row r="885" ht="15.75" customHeight="1">
      <c r="A885" s="7"/>
      <c r="B885" s="7"/>
      <c r="D885" s="7"/>
    </row>
    <row r="886" ht="15.75" customHeight="1">
      <c r="A886" s="7"/>
      <c r="B886" s="7"/>
      <c r="D886" s="7"/>
    </row>
    <row r="887" ht="15.75" customHeight="1">
      <c r="A887" s="7"/>
      <c r="B887" s="7"/>
      <c r="D887" s="7"/>
    </row>
    <row r="888" ht="15.75" customHeight="1">
      <c r="A888" s="7"/>
      <c r="B888" s="7"/>
      <c r="D888" s="7"/>
    </row>
    <row r="889" ht="15.75" customHeight="1">
      <c r="A889" s="7"/>
      <c r="B889" s="7"/>
      <c r="D889" s="7"/>
    </row>
    <row r="890" ht="15.75" customHeight="1">
      <c r="A890" s="7"/>
      <c r="B890" s="7"/>
      <c r="D890" s="7"/>
    </row>
    <row r="891" ht="15.75" customHeight="1">
      <c r="A891" s="7"/>
      <c r="B891" s="7"/>
      <c r="D891" s="7"/>
    </row>
    <row r="892" ht="15.75" customHeight="1">
      <c r="A892" s="7"/>
      <c r="B892" s="7"/>
      <c r="D892" s="7"/>
    </row>
    <row r="893" ht="15.75" customHeight="1">
      <c r="A893" s="7"/>
      <c r="B893" s="7"/>
      <c r="D893" s="7"/>
    </row>
    <row r="894" ht="15.75" customHeight="1">
      <c r="A894" s="7"/>
      <c r="B894" s="7"/>
      <c r="D894" s="7"/>
    </row>
    <row r="895" ht="15.75" customHeight="1">
      <c r="A895" s="7"/>
      <c r="B895" s="7"/>
      <c r="D895" s="7"/>
    </row>
    <row r="896" ht="15.75" customHeight="1">
      <c r="A896" s="7"/>
      <c r="B896" s="7"/>
      <c r="D896" s="7"/>
    </row>
    <row r="897" ht="15.75" customHeight="1">
      <c r="A897" s="7"/>
      <c r="B897" s="7"/>
      <c r="D897" s="7"/>
    </row>
    <row r="898" ht="15.75" customHeight="1">
      <c r="A898" s="7"/>
      <c r="B898" s="7"/>
      <c r="D898" s="7"/>
    </row>
    <row r="899" ht="15.75" customHeight="1">
      <c r="A899" s="7"/>
      <c r="B899" s="7"/>
      <c r="D899" s="7"/>
    </row>
    <row r="900" ht="15.75" customHeight="1">
      <c r="A900" s="7"/>
      <c r="B900" s="7"/>
      <c r="D900" s="7"/>
    </row>
    <row r="901" ht="15.75" customHeight="1">
      <c r="A901" s="7"/>
      <c r="B901" s="7"/>
      <c r="D901" s="7"/>
    </row>
    <row r="902" ht="15.75" customHeight="1">
      <c r="A902" s="7"/>
      <c r="B902" s="7"/>
      <c r="D902" s="7"/>
    </row>
    <row r="903" ht="15.75" customHeight="1">
      <c r="A903" s="7"/>
      <c r="B903" s="7"/>
      <c r="D903" s="7"/>
    </row>
    <row r="904" ht="15.75" customHeight="1">
      <c r="A904" s="7"/>
      <c r="B904" s="7"/>
      <c r="D904" s="7"/>
    </row>
    <row r="905" ht="15.75" customHeight="1">
      <c r="A905" s="7"/>
      <c r="B905" s="7"/>
      <c r="D905" s="7"/>
    </row>
    <row r="906" ht="15.75" customHeight="1">
      <c r="A906" s="7"/>
      <c r="B906" s="7"/>
      <c r="D906" s="7"/>
    </row>
    <row r="907" ht="15.75" customHeight="1">
      <c r="A907" s="7"/>
      <c r="B907" s="7"/>
      <c r="D907" s="7"/>
    </row>
    <row r="908" ht="15.75" customHeight="1">
      <c r="A908" s="7"/>
      <c r="B908" s="7"/>
      <c r="D908" s="7"/>
    </row>
    <row r="909" ht="15.75" customHeight="1">
      <c r="A909" s="7"/>
      <c r="B909" s="7"/>
      <c r="D909" s="7"/>
    </row>
    <row r="910" ht="15.75" customHeight="1">
      <c r="A910" s="7"/>
      <c r="B910" s="7"/>
      <c r="D910" s="7"/>
    </row>
    <row r="911" ht="15.75" customHeight="1">
      <c r="A911" s="7"/>
      <c r="B911" s="7"/>
      <c r="D911" s="7"/>
    </row>
    <row r="912" ht="15.75" customHeight="1">
      <c r="A912" s="7"/>
      <c r="B912" s="7"/>
      <c r="D912" s="7"/>
    </row>
    <row r="913" ht="15.75" customHeight="1">
      <c r="A913" s="7"/>
      <c r="B913" s="7"/>
      <c r="D913" s="7"/>
    </row>
    <row r="914" ht="15.75" customHeight="1">
      <c r="A914" s="7"/>
      <c r="B914" s="7"/>
      <c r="D914" s="7"/>
    </row>
    <row r="915" ht="15.75" customHeight="1">
      <c r="A915" s="7"/>
      <c r="B915" s="7"/>
      <c r="D915" s="7"/>
    </row>
    <row r="916" ht="15.75" customHeight="1">
      <c r="A916" s="7"/>
      <c r="B916" s="7"/>
      <c r="D916" s="7"/>
    </row>
    <row r="917" ht="15.75" customHeight="1">
      <c r="A917" s="7"/>
      <c r="B917" s="7"/>
      <c r="D917" s="7"/>
    </row>
    <row r="918" ht="15.75" customHeight="1">
      <c r="A918" s="7"/>
      <c r="B918" s="7"/>
      <c r="D918" s="7"/>
    </row>
    <row r="919" ht="15.75" customHeight="1">
      <c r="A919" s="7"/>
      <c r="B919" s="7"/>
      <c r="D919" s="7"/>
    </row>
    <row r="920" ht="15.75" customHeight="1">
      <c r="A920" s="7"/>
      <c r="B920" s="7"/>
      <c r="D920" s="7"/>
    </row>
    <row r="921" ht="15.75" customHeight="1">
      <c r="A921" s="7"/>
      <c r="B921" s="7"/>
      <c r="D921" s="7"/>
    </row>
    <row r="922" ht="15.75" customHeight="1">
      <c r="A922" s="7"/>
      <c r="B922" s="7"/>
      <c r="D922" s="7"/>
    </row>
    <row r="923" ht="15.75" customHeight="1">
      <c r="A923" s="7"/>
      <c r="B923" s="7"/>
      <c r="D923" s="7"/>
    </row>
    <row r="924" ht="15.75" customHeight="1">
      <c r="A924" s="7"/>
      <c r="B924" s="7"/>
      <c r="D924" s="7"/>
    </row>
    <row r="925" ht="15.75" customHeight="1">
      <c r="A925" s="7"/>
      <c r="B925" s="7"/>
      <c r="D925" s="7"/>
    </row>
    <row r="926" ht="15.75" customHeight="1">
      <c r="A926" s="7"/>
      <c r="B926" s="7"/>
      <c r="D926" s="7"/>
    </row>
    <row r="927" ht="15.75" customHeight="1">
      <c r="A927" s="7"/>
      <c r="B927" s="7"/>
      <c r="D927" s="7"/>
    </row>
    <row r="928" ht="15.75" customHeight="1">
      <c r="A928" s="7"/>
      <c r="B928" s="7"/>
      <c r="D928" s="7"/>
    </row>
    <row r="929" ht="15.75" customHeight="1">
      <c r="A929" s="7"/>
      <c r="B929" s="7"/>
      <c r="D929" s="7"/>
    </row>
    <row r="930" ht="15.75" customHeight="1">
      <c r="A930" s="7"/>
      <c r="B930" s="7"/>
      <c r="D930" s="7"/>
    </row>
    <row r="931" ht="15.75" customHeight="1">
      <c r="A931" s="7"/>
      <c r="B931" s="7"/>
      <c r="D931" s="7"/>
    </row>
    <row r="932" ht="15.75" customHeight="1">
      <c r="A932" s="7"/>
      <c r="B932" s="7"/>
      <c r="D932" s="7"/>
    </row>
    <row r="933" ht="15.75" customHeight="1">
      <c r="A933" s="7"/>
      <c r="B933" s="7"/>
      <c r="D933" s="7"/>
    </row>
    <row r="934" ht="15.75" customHeight="1">
      <c r="A934" s="7"/>
      <c r="B934" s="7"/>
      <c r="D934" s="7"/>
    </row>
    <row r="935" ht="15.75" customHeight="1">
      <c r="A935" s="7"/>
      <c r="B935" s="7"/>
      <c r="D935" s="7"/>
    </row>
    <row r="936" ht="15.75" customHeight="1">
      <c r="A936" s="7"/>
      <c r="B936" s="7"/>
      <c r="D936" s="7"/>
    </row>
    <row r="937" ht="15.75" customHeight="1">
      <c r="A937" s="7"/>
      <c r="B937" s="7"/>
      <c r="D937" s="7"/>
    </row>
    <row r="938" ht="15.75" customHeight="1">
      <c r="A938" s="7"/>
      <c r="B938" s="7"/>
      <c r="D938" s="7"/>
    </row>
    <row r="939" ht="15.75" customHeight="1">
      <c r="A939" s="7"/>
      <c r="B939" s="7"/>
      <c r="D939" s="7"/>
    </row>
    <row r="940" ht="15.75" customHeight="1">
      <c r="A940" s="7"/>
      <c r="B940" s="7"/>
      <c r="D940" s="7"/>
    </row>
    <row r="941" ht="15.75" customHeight="1">
      <c r="A941" s="7"/>
      <c r="B941" s="7"/>
      <c r="D941" s="7"/>
    </row>
    <row r="942" ht="15.75" customHeight="1">
      <c r="A942" s="7"/>
      <c r="B942" s="7"/>
      <c r="D942" s="7"/>
    </row>
    <row r="943" ht="15.75" customHeight="1">
      <c r="A943" s="7"/>
      <c r="B943" s="7"/>
      <c r="D943" s="7"/>
    </row>
    <row r="944" ht="15.75" customHeight="1">
      <c r="A944" s="7"/>
      <c r="B944" s="7"/>
      <c r="D944" s="7"/>
    </row>
    <row r="945" ht="15.75" customHeight="1">
      <c r="A945" s="7"/>
      <c r="B945" s="7"/>
      <c r="D945" s="7"/>
    </row>
    <row r="946" ht="15.75" customHeight="1">
      <c r="A946" s="7"/>
      <c r="B946" s="7"/>
      <c r="D946" s="7"/>
    </row>
    <row r="947" ht="15.75" customHeight="1">
      <c r="A947" s="7"/>
      <c r="B947" s="7"/>
      <c r="D947" s="7"/>
    </row>
    <row r="948" ht="15.75" customHeight="1">
      <c r="A948" s="7"/>
      <c r="B948" s="7"/>
      <c r="D948" s="7"/>
    </row>
    <row r="949" ht="15.75" customHeight="1">
      <c r="A949" s="7"/>
      <c r="B949" s="7"/>
      <c r="D949" s="7"/>
    </row>
    <row r="950" ht="15.75" customHeight="1">
      <c r="A950" s="7"/>
      <c r="B950" s="7"/>
      <c r="D950" s="7"/>
    </row>
    <row r="951" ht="15.75" customHeight="1">
      <c r="A951" s="7"/>
      <c r="B951" s="7"/>
      <c r="D951" s="7"/>
    </row>
    <row r="952" ht="15.75" customHeight="1">
      <c r="A952" s="7"/>
      <c r="B952" s="7"/>
      <c r="D952" s="7"/>
    </row>
    <row r="953" ht="15.75" customHeight="1">
      <c r="A953" s="7"/>
      <c r="B953" s="7"/>
      <c r="D953" s="7"/>
    </row>
    <row r="954" ht="15.75" customHeight="1">
      <c r="A954" s="7"/>
      <c r="B954" s="7"/>
      <c r="D954" s="7"/>
    </row>
    <row r="955" ht="15.75" customHeight="1">
      <c r="A955" s="7"/>
      <c r="B955" s="7"/>
      <c r="D955" s="7"/>
    </row>
    <row r="956" ht="15.75" customHeight="1">
      <c r="A956" s="7"/>
      <c r="B956" s="7"/>
      <c r="D956" s="7"/>
    </row>
    <row r="957" ht="15.75" customHeight="1">
      <c r="A957" s="7"/>
      <c r="B957" s="7"/>
      <c r="D957" s="7"/>
    </row>
    <row r="958" ht="15.75" customHeight="1">
      <c r="A958" s="7"/>
      <c r="B958" s="7"/>
      <c r="D958" s="7"/>
    </row>
    <row r="959" ht="15.75" customHeight="1">
      <c r="A959" s="7"/>
      <c r="B959" s="7"/>
      <c r="D959" s="7"/>
    </row>
    <row r="960" ht="15.75" customHeight="1">
      <c r="A960" s="7"/>
      <c r="B960" s="7"/>
      <c r="D960" s="7"/>
    </row>
    <row r="961" ht="15.75" customHeight="1">
      <c r="A961" s="7"/>
      <c r="B961" s="7"/>
      <c r="D961" s="7"/>
    </row>
    <row r="962" ht="15.75" customHeight="1">
      <c r="A962" s="7"/>
      <c r="B962" s="7"/>
      <c r="D962" s="7"/>
    </row>
    <row r="963" ht="15.75" customHeight="1">
      <c r="A963" s="7"/>
      <c r="B963" s="7"/>
      <c r="D963" s="7"/>
    </row>
    <row r="964" ht="15.75" customHeight="1">
      <c r="A964" s="7"/>
      <c r="B964" s="7"/>
      <c r="D964" s="7"/>
    </row>
    <row r="965" ht="15.75" customHeight="1">
      <c r="A965" s="7"/>
      <c r="B965" s="7"/>
      <c r="D965" s="7"/>
    </row>
    <row r="966" ht="15.75" customHeight="1">
      <c r="A966" s="7"/>
      <c r="B966" s="7"/>
      <c r="D966" s="7"/>
    </row>
    <row r="967" ht="15.75" customHeight="1">
      <c r="A967" s="7"/>
      <c r="B967" s="7"/>
      <c r="D967" s="7"/>
    </row>
    <row r="968" ht="15.75" customHeight="1">
      <c r="A968" s="7"/>
      <c r="B968" s="7"/>
      <c r="D968" s="7"/>
    </row>
    <row r="969" ht="15.75" customHeight="1">
      <c r="A969" s="7"/>
      <c r="B969" s="7"/>
      <c r="D969" s="7"/>
    </row>
    <row r="970" ht="15.75" customHeight="1">
      <c r="A970" s="7"/>
      <c r="B970" s="7"/>
      <c r="D970" s="7"/>
    </row>
    <row r="971" ht="15.75" customHeight="1">
      <c r="A971" s="7"/>
      <c r="B971" s="7"/>
      <c r="D971" s="7"/>
    </row>
    <row r="972" ht="15.75" customHeight="1">
      <c r="A972" s="7"/>
      <c r="B972" s="7"/>
      <c r="D972" s="7"/>
    </row>
    <row r="973" ht="15.75" customHeight="1">
      <c r="A973" s="7"/>
      <c r="B973" s="7"/>
      <c r="D973" s="7"/>
    </row>
    <row r="974" ht="15.75" customHeight="1">
      <c r="A974" s="7"/>
      <c r="B974" s="7"/>
      <c r="D974" s="7"/>
    </row>
    <row r="975" ht="15.75" customHeight="1">
      <c r="A975" s="7"/>
      <c r="B975" s="7"/>
      <c r="D975" s="7"/>
    </row>
    <row r="976" ht="15.75" customHeight="1">
      <c r="A976" s="7"/>
      <c r="B976" s="7"/>
      <c r="D976" s="7"/>
    </row>
    <row r="977" ht="15.75" customHeight="1">
      <c r="A977" s="7"/>
      <c r="B977" s="7"/>
      <c r="D977" s="7"/>
    </row>
    <row r="978" ht="15.75" customHeight="1">
      <c r="A978" s="7"/>
      <c r="B978" s="7"/>
      <c r="D978" s="7"/>
    </row>
    <row r="979" ht="15.75" customHeight="1">
      <c r="A979" s="7"/>
      <c r="B979" s="7"/>
      <c r="D979" s="7"/>
    </row>
    <row r="980" ht="15.75" customHeight="1">
      <c r="A980" s="7"/>
      <c r="B980" s="7"/>
      <c r="D980" s="7"/>
    </row>
    <row r="981" ht="15.75" customHeight="1">
      <c r="A981" s="7"/>
      <c r="B981" s="7"/>
      <c r="D981" s="7"/>
    </row>
    <row r="982" ht="15.75" customHeight="1">
      <c r="A982" s="7"/>
      <c r="B982" s="7"/>
      <c r="D982" s="7"/>
    </row>
    <row r="983" ht="15.75" customHeight="1">
      <c r="A983" s="7"/>
      <c r="B983" s="7"/>
      <c r="D983" s="7"/>
    </row>
    <row r="984" ht="15.75" customHeight="1">
      <c r="A984" s="7"/>
      <c r="B984" s="7"/>
      <c r="D984" s="7"/>
    </row>
    <row r="985" ht="15.75" customHeight="1">
      <c r="A985" s="7"/>
      <c r="B985" s="7"/>
      <c r="D985" s="7"/>
    </row>
    <row r="986" ht="15.75" customHeight="1">
      <c r="A986" s="7"/>
      <c r="B986" s="7"/>
      <c r="D986" s="7"/>
    </row>
    <row r="987" ht="15.75" customHeight="1">
      <c r="A987" s="7"/>
      <c r="B987" s="7"/>
      <c r="D987" s="7"/>
    </row>
    <row r="988" ht="15.75" customHeight="1">
      <c r="A988" s="7"/>
      <c r="B988" s="7"/>
      <c r="D988" s="7"/>
    </row>
    <row r="989" ht="15.75" customHeight="1">
      <c r="A989" s="7"/>
      <c r="B989" s="7"/>
      <c r="D989" s="7"/>
    </row>
    <row r="990" ht="15.75" customHeight="1">
      <c r="A990" s="7"/>
      <c r="B990" s="7"/>
      <c r="D990" s="7"/>
    </row>
    <row r="991" ht="15.75" customHeight="1">
      <c r="A991" s="7"/>
      <c r="B991" s="7"/>
      <c r="D991" s="7"/>
    </row>
    <row r="992" ht="15.75" customHeight="1">
      <c r="A992" s="7"/>
      <c r="B992" s="7"/>
      <c r="D992" s="7"/>
    </row>
    <row r="993" ht="15.75" customHeight="1">
      <c r="A993" s="7"/>
      <c r="B993" s="7"/>
      <c r="D993" s="7"/>
    </row>
    <row r="994" ht="15.75" customHeight="1">
      <c r="A994" s="7"/>
      <c r="B994" s="7"/>
      <c r="D994" s="7"/>
    </row>
    <row r="995" ht="15.75" customHeight="1">
      <c r="A995" s="7"/>
      <c r="B995" s="7"/>
      <c r="D995" s="7"/>
    </row>
    <row r="996" ht="15.75" customHeight="1">
      <c r="A996" s="7"/>
      <c r="B996" s="7"/>
      <c r="D996" s="7"/>
    </row>
    <row r="997" ht="15.75" customHeight="1">
      <c r="A997" s="7"/>
      <c r="B997" s="7"/>
      <c r="D997" s="7"/>
    </row>
    <row r="998" ht="15.75" customHeight="1">
      <c r="A998" s="7"/>
      <c r="B998" s="7"/>
      <c r="D998" s="7"/>
    </row>
    <row r="999" ht="15.75" customHeight="1">
      <c r="A999" s="7"/>
      <c r="B999" s="7"/>
      <c r="D999" s="7"/>
    </row>
    <row r="1000" ht="15.75" customHeight="1">
      <c r="A1000" s="7"/>
      <c r="B1000" s="7"/>
      <c r="D1000" s="7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7" width="26.0"/>
    <col customWidth="1" min="18" max="26" width="8.71"/>
  </cols>
  <sheetData>
    <row r="1" ht="45.75" customHeight="1">
      <c r="A1" s="1" t="s">
        <v>1</v>
      </c>
      <c r="B1" s="1" t="s">
        <v>903</v>
      </c>
      <c r="C1" s="1" t="s">
        <v>34</v>
      </c>
      <c r="D1" s="1" t="s">
        <v>40</v>
      </c>
      <c r="E1" s="1" t="s">
        <v>47</v>
      </c>
      <c r="F1" s="1" t="s">
        <v>49</v>
      </c>
      <c r="G1" s="1" t="s">
        <v>904</v>
      </c>
      <c r="H1" s="1" t="s">
        <v>905</v>
      </c>
      <c r="I1" s="1" t="s">
        <v>906</v>
      </c>
      <c r="J1" s="1" t="s">
        <v>907</v>
      </c>
      <c r="K1" s="1" t="s">
        <v>908</v>
      </c>
      <c r="L1" s="1" t="s">
        <v>909</v>
      </c>
      <c r="M1" s="1" t="s">
        <v>910</v>
      </c>
      <c r="N1" s="1" t="s">
        <v>911</v>
      </c>
      <c r="O1" s="1" t="s">
        <v>912</v>
      </c>
      <c r="P1" s="1" t="s">
        <v>913</v>
      </c>
      <c r="Q1" s="1" t="s">
        <v>914</v>
      </c>
    </row>
    <row r="2" ht="15.0" customHeight="1">
      <c r="A2" s="6">
        <v>2.0</v>
      </c>
      <c r="B2" s="6" t="s">
        <v>185</v>
      </c>
      <c r="C2" s="6" t="s">
        <v>188</v>
      </c>
      <c r="D2" s="6" t="s">
        <v>190</v>
      </c>
      <c r="E2" s="6" t="s">
        <v>195</v>
      </c>
      <c r="F2" s="6" t="s">
        <v>197</v>
      </c>
      <c r="G2" s="6" t="s">
        <v>916</v>
      </c>
      <c r="H2" s="6" t="s">
        <v>917</v>
      </c>
      <c r="I2" s="6" t="s">
        <v>712</v>
      </c>
      <c r="J2" s="6" t="s">
        <v>918</v>
      </c>
      <c r="K2" s="6" t="s">
        <v>919</v>
      </c>
      <c r="L2" s="6" t="s">
        <v>920</v>
      </c>
      <c r="M2" s="6" t="s">
        <v>921</v>
      </c>
      <c r="N2" s="6" t="s">
        <v>922</v>
      </c>
      <c r="O2" s="6" t="s">
        <v>923</v>
      </c>
      <c r="P2" s="6" t="s">
        <v>924</v>
      </c>
      <c r="Q2" s="6" t="s">
        <v>925</v>
      </c>
    </row>
    <row r="3" ht="15.0" customHeight="1">
      <c r="A3" s="6">
        <v>3.0</v>
      </c>
      <c r="B3" s="6" t="s">
        <v>95</v>
      </c>
      <c r="C3" s="6" t="s">
        <v>261</v>
      </c>
      <c r="D3" s="6" t="s">
        <v>263</v>
      </c>
      <c r="E3" s="6" t="s">
        <v>195</v>
      </c>
      <c r="F3" s="6" t="s">
        <v>212</v>
      </c>
      <c r="G3" s="6" t="s">
        <v>926</v>
      </c>
      <c r="H3" s="6" t="s">
        <v>927</v>
      </c>
      <c r="I3" s="6" t="s">
        <v>712</v>
      </c>
      <c r="J3" s="6" t="s">
        <v>928</v>
      </c>
      <c r="K3" s="6" t="s">
        <v>929</v>
      </c>
      <c r="L3" s="6" t="s">
        <v>930</v>
      </c>
      <c r="M3" s="6" t="s">
        <v>931</v>
      </c>
      <c r="N3" s="6" t="s">
        <v>932</v>
      </c>
      <c r="O3" s="6" t="s">
        <v>933</v>
      </c>
      <c r="P3" s="6" t="s">
        <v>924</v>
      </c>
      <c r="Q3" s="6" t="s">
        <v>925</v>
      </c>
    </row>
    <row r="4" ht="15.0" customHeight="1">
      <c r="A4" s="6">
        <v>4.0</v>
      </c>
      <c r="B4" s="6" t="s">
        <v>95</v>
      </c>
      <c r="C4" s="6" t="s">
        <v>261</v>
      </c>
      <c r="D4" s="6" t="s">
        <v>263</v>
      </c>
      <c r="E4" s="6" t="s">
        <v>195</v>
      </c>
      <c r="F4" s="6" t="s">
        <v>212</v>
      </c>
      <c r="G4" s="6" t="s">
        <v>926</v>
      </c>
      <c r="H4" s="6" t="s">
        <v>927</v>
      </c>
      <c r="I4" s="6" t="s">
        <v>712</v>
      </c>
      <c r="J4" s="6" t="s">
        <v>928</v>
      </c>
      <c r="K4" s="6" t="s">
        <v>929</v>
      </c>
      <c r="L4" s="6" t="s">
        <v>930</v>
      </c>
      <c r="M4" s="6" t="s">
        <v>921</v>
      </c>
      <c r="N4" s="6" t="s">
        <v>934</v>
      </c>
      <c r="O4" s="6" t="s">
        <v>933</v>
      </c>
      <c r="P4" s="6" t="s">
        <v>924</v>
      </c>
      <c r="Q4" s="6" t="s">
        <v>925</v>
      </c>
    </row>
    <row r="5" ht="15.0" customHeight="1">
      <c r="A5" s="6">
        <v>5.0</v>
      </c>
      <c r="B5" s="6" t="s">
        <v>95</v>
      </c>
      <c r="C5" s="6" t="s">
        <v>303</v>
      </c>
      <c r="D5" s="6"/>
      <c r="E5" s="6" t="s">
        <v>306</v>
      </c>
      <c r="F5" s="6" t="s">
        <v>307</v>
      </c>
      <c r="G5" s="6" t="s">
        <v>935</v>
      </c>
      <c r="H5" s="6" t="s">
        <v>936</v>
      </c>
      <c r="I5" s="6" t="s">
        <v>712</v>
      </c>
      <c r="J5" s="6" t="s">
        <v>937</v>
      </c>
      <c r="K5" s="6" t="s">
        <v>938</v>
      </c>
      <c r="L5" s="6" t="s">
        <v>939</v>
      </c>
      <c r="M5" s="6" t="s">
        <v>940</v>
      </c>
      <c r="N5" s="6" t="s">
        <v>941</v>
      </c>
      <c r="O5" s="6" t="s">
        <v>942</v>
      </c>
      <c r="P5" s="6" t="s">
        <v>924</v>
      </c>
      <c r="Q5" s="6" t="s">
        <v>925</v>
      </c>
    </row>
    <row r="6" ht="15.0" customHeight="1">
      <c r="A6" s="6">
        <v>6.0</v>
      </c>
      <c r="B6" s="6" t="s">
        <v>143</v>
      </c>
      <c r="C6" s="6" t="s">
        <v>321</v>
      </c>
      <c r="D6" s="6" t="s">
        <v>478</v>
      </c>
      <c r="E6" s="6" t="s">
        <v>325</v>
      </c>
      <c r="F6" s="6" t="s">
        <v>326</v>
      </c>
      <c r="G6" s="6" t="s">
        <v>943</v>
      </c>
      <c r="H6" s="6" t="s">
        <v>917</v>
      </c>
      <c r="I6" s="6" t="s">
        <v>928</v>
      </c>
      <c r="J6" s="6" t="s">
        <v>918</v>
      </c>
      <c r="K6" s="6" t="s">
        <v>944</v>
      </c>
      <c r="L6" s="6" t="s">
        <v>945</v>
      </c>
      <c r="M6" s="6" t="s">
        <v>921</v>
      </c>
      <c r="N6" s="6" t="s">
        <v>946</v>
      </c>
      <c r="O6" s="6" t="s">
        <v>947</v>
      </c>
      <c r="P6" s="6" t="s">
        <v>924</v>
      </c>
      <c r="Q6" s="6" t="s">
        <v>925</v>
      </c>
    </row>
    <row r="7" ht="15.0" customHeight="1">
      <c r="A7" s="6">
        <v>7.0</v>
      </c>
      <c r="B7" s="6" t="s">
        <v>217</v>
      </c>
      <c r="C7" s="6" t="s">
        <v>337</v>
      </c>
      <c r="D7" s="6" t="s">
        <v>338</v>
      </c>
      <c r="E7" s="6" t="s">
        <v>340</v>
      </c>
      <c r="F7" s="6" t="s">
        <v>341</v>
      </c>
      <c r="G7" s="6" t="s">
        <v>948</v>
      </c>
      <c r="H7" s="6" t="s">
        <v>949</v>
      </c>
      <c r="I7" s="6" t="s">
        <v>712</v>
      </c>
      <c r="J7" s="6" t="s">
        <v>712</v>
      </c>
      <c r="K7" s="6" t="s">
        <v>950</v>
      </c>
      <c r="L7" s="6" t="s">
        <v>951</v>
      </c>
      <c r="M7" s="6" t="s">
        <v>952</v>
      </c>
      <c r="N7" s="6" t="s">
        <v>953</v>
      </c>
      <c r="O7" s="6" t="s">
        <v>954</v>
      </c>
      <c r="P7" s="6" t="s">
        <v>924</v>
      </c>
      <c r="Q7" s="6" t="s">
        <v>925</v>
      </c>
    </row>
    <row r="8" ht="15.0" customHeight="1">
      <c r="A8" s="6">
        <v>8.0</v>
      </c>
      <c r="B8" s="6" t="s">
        <v>217</v>
      </c>
      <c r="C8" s="6" t="s">
        <v>337</v>
      </c>
      <c r="D8" s="6" t="s">
        <v>338</v>
      </c>
      <c r="E8" s="6" t="s">
        <v>352</v>
      </c>
      <c r="F8" s="6" t="s">
        <v>341</v>
      </c>
      <c r="G8" s="6" t="s">
        <v>948</v>
      </c>
      <c r="H8" s="6" t="s">
        <v>949</v>
      </c>
      <c r="I8" s="6" t="s">
        <v>712</v>
      </c>
      <c r="J8" s="6" t="s">
        <v>712</v>
      </c>
      <c r="K8" s="6" t="s">
        <v>950</v>
      </c>
      <c r="L8" s="6" t="s">
        <v>951</v>
      </c>
      <c r="M8" s="6" t="s">
        <v>952</v>
      </c>
      <c r="N8" s="6" t="s">
        <v>953</v>
      </c>
      <c r="O8" s="6" t="s">
        <v>954</v>
      </c>
      <c r="P8" s="6" t="s">
        <v>924</v>
      </c>
      <c r="Q8" s="6" t="s">
        <v>925</v>
      </c>
    </row>
    <row r="9" ht="15.0" customHeight="1">
      <c r="A9" s="6">
        <v>9.0</v>
      </c>
      <c r="B9" s="6" t="s">
        <v>217</v>
      </c>
      <c r="C9" s="6" t="s">
        <v>337</v>
      </c>
      <c r="D9" s="6" t="s">
        <v>338</v>
      </c>
      <c r="E9" s="6" t="s">
        <v>356</v>
      </c>
      <c r="F9" s="6" t="s">
        <v>341</v>
      </c>
      <c r="G9" s="6" t="s">
        <v>948</v>
      </c>
      <c r="H9" s="6" t="s">
        <v>949</v>
      </c>
      <c r="I9" s="6" t="s">
        <v>712</v>
      </c>
      <c r="J9" s="6" t="s">
        <v>712</v>
      </c>
      <c r="K9" s="6" t="s">
        <v>950</v>
      </c>
      <c r="L9" s="6" t="s">
        <v>951</v>
      </c>
      <c r="M9" s="6" t="s">
        <v>952</v>
      </c>
      <c r="N9" s="6" t="s">
        <v>953</v>
      </c>
      <c r="O9" s="6" t="s">
        <v>954</v>
      </c>
      <c r="P9" s="6" t="s">
        <v>924</v>
      </c>
      <c r="Q9" s="6" t="s">
        <v>925</v>
      </c>
    </row>
    <row r="10" ht="15.0" customHeight="1">
      <c r="A10" s="6">
        <v>10.0</v>
      </c>
      <c r="B10" s="6" t="s">
        <v>143</v>
      </c>
      <c r="C10" s="6" t="s">
        <v>362</v>
      </c>
      <c r="D10" s="6" t="s">
        <v>363</v>
      </c>
      <c r="E10" s="6" t="s">
        <v>195</v>
      </c>
      <c r="F10" s="6" t="s">
        <v>365</v>
      </c>
      <c r="G10" s="6" t="s">
        <v>955</v>
      </c>
      <c r="H10" s="6" t="s">
        <v>917</v>
      </c>
      <c r="I10" s="6" t="s">
        <v>928</v>
      </c>
      <c r="J10" s="6" t="s">
        <v>918</v>
      </c>
      <c r="K10" s="6" t="s">
        <v>956</v>
      </c>
      <c r="L10" s="6" t="s">
        <v>957</v>
      </c>
      <c r="M10" s="6" t="s">
        <v>921</v>
      </c>
      <c r="N10" s="6" t="s">
        <v>958</v>
      </c>
      <c r="O10" s="6" t="s">
        <v>959</v>
      </c>
      <c r="P10" s="6" t="s">
        <v>924</v>
      </c>
      <c r="Q10" s="6" t="s">
        <v>925</v>
      </c>
    </row>
    <row r="11" ht="15.0" customHeight="1">
      <c r="A11" s="6">
        <v>11.0</v>
      </c>
      <c r="B11" s="6" t="s">
        <v>95</v>
      </c>
      <c r="C11" s="6" t="s">
        <v>380</v>
      </c>
      <c r="D11" s="6" t="s">
        <v>381</v>
      </c>
      <c r="E11" s="6" t="s">
        <v>195</v>
      </c>
      <c r="F11" s="6" t="s">
        <v>383</v>
      </c>
      <c r="G11" s="6" t="s">
        <v>960</v>
      </c>
      <c r="H11" s="6" t="s">
        <v>917</v>
      </c>
      <c r="I11" s="6" t="s">
        <v>712</v>
      </c>
      <c r="J11" s="6" t="s">
        <v>961</v>
      </c>
      <c r="K11" s="6" t="s">
        <v>962</v>
      </c>
      <c r="L11" s="6" t="s">
        <v>963</v>
      </c>
      <c r="M11" s="6" t="s">
        <v>921</v>
      </c>
      <c r="N11" s="6" t="s">
        <v>964</v>
      </c>
      <c r="O11" s="6" t="s">
        <v>965</v>
      </c>
      <c r="P11" s="6" t="s">
        <v>924</v>
      </c>
      <c r="Q11" s="6" t="s">
        <v>925</v>
      </c>
    </row>
    <row r="12" ht="15.0" customHeight="1">
      <c r="A12" s="6">
        <v>12.0</v>
      </c>
      <c r="B12" s="6" t="s">
        <v>185</v>
      </c>
      <c r="C12" s="6" t="s">
        <v>188</v>
      </c>
      <c r="D12" s="6" t="s">
        <v>190</v>
      </c>
      <c r="E12" s="6" t="s">
        <v>195</v>
      </c>
      <c r="F12" s="6" t="s">
        <v>394</v>
      </c>
      <c r="G12" s="6" t="s">
        <v>967</v>
      </c>
      <c r="H12" s="6" t="s">
        <v>917</v>
      </c>
      <c r="I12" s="6" t="s">
        <v>712</v>
      </c>
      <c r="J12" s="6" t="s">
        <v>918</v>
      </c>
      <c r="K12" s="6" t="s">
        <v>919</v>
      </c>
      <c r="L12" s="6" t="s">
        <v>920</v>
      </c>
      <c r="M12" s="6" t="s">
        <v>921</v>
      </c>
      <c r="N12" s="6" t="s">
        <v>968</v>
      </c>
      <c r="O12" s="6" t="s">
        <v>923</v>
      </c>
      <c r="P12" s="6" t="s">
        <v>924</v>
      </c>
      <c r="Q12" s="6" t="s">
        <v>925</v>
      </c>
    </row>
    <row r="13" ht="15.0" customHeight="1">
      <c r="A13" s="6">
        <v>13.0</v>
      </c>
      <c r="B13" s="6" t="s">
        <v>185</v>
      </c>
      <c r="C13" s="6" t="s">
        <v>188</v>
      </c>
      <c r="D13" s="6" t="s">
        <v>190</v>
      </c>
      <c r="E13" s="6" t="s">
        <v>195</v>
      </c>
      <c r="F13" s="6" t="s">
        <v>197</v>
      </c>
      <c r="G13" s="6" t="s">
        <v>967</v>
      </c>
      <c r="H13" s="6" t="s">
        <v>917</v>
      </c>
      <c r="I13" s="6" t="s">
        <v>712</v>
      </c>
      <c r="J13" s="6" t="s">
        <v>918</v>
      </c>
      <c r="K13" s="6" t="s">
        <v>919</v>
      </c>
      <c r="L13" s="6" t="s">
        <v>920</v>
      </c>
      <c r="M13" s="6" t="s">
        <v>921</v>
      </c>
      <c r="N13" s="6" t="s">
        <v>968</v>
      </c>
      <c r="O13" s="6" t="s">
        <v>923</v>
      </c>
      <c r="P13" s="6" t="s">
        <v>924</v>
      </c>
      <c r="Q13" s="6" t="s">
        <v>925</v>
      </c>
    </row>
    <row r="14" ht="15.0" customHeight="1">
      <c r="A14" s="6">
        <v>14.0</v>
      </c>
      <c r="B14" s="6" t="s">
        <v>185</v>
      </c>
      <c r="C14" s="6" t="s">
        <v>188</v>
      </c>
      <c r="D14" s="6" t="s">
        <v>190</v>
      </c>
      <c r="E14" s="6" t="s">
        <v>195</v>
      </c>
      <c r="F14" s="6" t="s">
        <v>394</v>
      </c>
      <c r="G14" s="6" t="s">
        <v>916</v>
      </c>
      <c r="H14" s="6" t="s">
        <v>917</v>
      </c>
      <c r="I14" s="6" t="s">
        <v>712</v>
      </c>
      <c r="J14" s="6" t="s">
        <v>918</v>
      </c>
      <c r="K14" s="6" t="s">
        <v>919</v>
      </c>
      <c r="L14" s="6" t="s">
        <v>920</v>
      </c>
      <c r="M14" s="6" t="s">
        <v>921</v>
      </c>
      <c r="N14" s="6" t="s">
        <v>922</v>
      </c>
      <c r="O14" s="6" t="s">
        <v>923</v>
      </c>
      <c r="P14" s="6" t="s">
        <v>924</v>
      </c>
      <c r="Q14" s="6" t="s">
        <v>925</v>
      </c>
    </row>
    <row r="15" ht="15.0" customHeight="1">
      <c r="A15" s="6">
        <v>15.0</v>
      </c>
      <c r="B15" s="6" t="s">
        <v>125</v>
      </c>
      <c r="C15" s="6" t="s">
        <v>427</v>
      </c>
      <c r="D15" s="6" t="s">
        <v>428</v>
      </c>
      <c r="E15" s="6" t="s">
        <v>195</v>
      </c>
      <c r="F15" s="6" t="s">
        <v>430</v>
      </c>
      <c r="G15" s="6" t="s">
        <v>969</v>
      </c>
      <c r="H15" s="6" t="s">
        <v>917</v>
      </c>
      <c r="I15" s="6" t="s">
        <v>928</v>
      </c>
      <c r="J15" s="6" t="s">
        <v>918</v>
      </c>
      <c r="K15" s="6" t="s">
        <v>970</v>
      </c>
      <c r="L15" s="6" t="s">
        <v>971</v>
      </c>
      <c r="M15" s="6" t="s">
        <v>921</v>
      </c>
      <c r="N15" s="6" t="s">
        <v>972</v>
      </c>
      <c r="O15" s="6" t="s">
        <v>973</v>
      </c>
      <c r="P15" s="6" t="s">
        <v>924</v>
      </c>
      <c r="Q15" s="6" t="s">
        <v>925</v>
      </c>
    </row>
    <row r="16" ht="15.0" customHeight="1">
      <c r="A16" s="6">
        <v>16.0</v>
      </c>
      <c r="B16" s="6" t="s">
        <v>125</v>
      </c>
      <c r="C16" s="6" t="s">
        <v>452</v>
      </c>
      <c r="D16" s="6" t="s">
        <v>453</v>
      </c>
      <c r="E16" s="6" t="s">
        <v>454</v>
      </c>
      <c r="F16" s="6" t="s">
        <v>455</v>
      </c>
      <c r="G16" s="6" t="s">
        <v>974</v>
      </c>
      <c r="H16" s="6" t="s">
        <v>975</v>
      </c>
      <c r="I16" s="6" t="s">
        <v>928</v>
      </c>
      <c r="J16" s="6" t="s">
        <v>712</v>
      </c>
      <c r="K16" s="6" t="s">
        <v>976</v>
      </c>
      <c r="L16" s="6" t="s">
        <v>977</v>
      </c>
      <c r="M16" s="6" t="s">
        <v>921</v>
      </c>
      <c r="N16" s="6" t="s">
        <v>978</v>
      </c>
      <c r="O16" s="6" t="s">
        <v>979</v>
      </c>
      <c r="P16" s="6" t="s">
        <v>924</v>
      </c>
      <c r="Q16" s="6" t="s">
        <v>925</v>
      </c>
    </row>
    <row r="17" ht="15.0" customHeight="1">
      <c r="A17" s="6">
        <v>17.0</v>
      </c>
      <c r="B17" s="6" t="s">
        <v>143</v>
      </c>
      <c r="C17" s="6" t="s">
        <v>321</v>
      </c>
      <c r="D17" s="6" t="s">
        <v>478</v>
      </c>
      <c r="E17" s="6" t="s">
        <v>479</v>
      </c>
      <c r="F17" s="6" t="s">
        <v>326</v>
      </c>
      <c r="G17" s="6" t="s">
        <v>943</v>
      </c>
      <c r="H17" s="6" t="s">
        <v>917</v>
      </c>
      <c r="I17" s="6" t="s">
        <v>928</v>
      </c>
      <c r="J17" s="6" t="s">
        <v>918</v>
      </c>
      <c r="K17" s="6" t="s">
        <v>944</v>
      </c>
      <c r="L17" s="6" t="s">
        <v>945</v>
      </c>
      <c r="M17" s="6" t="s">
        <v>921</v>
      </c>
      <c r="N17" s="6" t="s">
        <v>946</v>
      </c>
      <c r="O17" s="6" t="s">
        <v>947</v>
      </c>
      <c r="P17" s="6" t="s">
        <v>924</v>
      </c>
      <c r="Q17" s="6" t="s">
        <v>925</v>
      </c>
    </row>
    <row r="18" ht="15.0" customHeight="1">
      <c r="A18" s="6">
        <v>18.0</v>
      </c>
      <c r="B18" s="6" t="s">
        <v>143</v>
      </c>
      <c r="C18" s="6" t="s">
        <v>321</v>
      </c>
      <c r="D18" s="6" t="s">
        <v>478</v>
      </c>
      <c r="E18" s="6" t="s">
        <v>483</v>
      </c>
      <c r="F18" s="6" t="s">
        <v>326</v>
      </c>
      <c r="G18" s="6" t="s">
        <v>943</v>
      </c>
      <c r="H18" s="6" t="s">
        <v>917</v>
      </c>
      <c r="I18" s="6" t="s">
        <v>928</v>
      </c>
      <c r="J18" s="6" t="s">
        <v>918</v>
      </c>
      <c r="K18" s="6" t="s">
        <v>944</v>
      </c>
      <c r="L18" s="6" t="s">
        <v>945</v>
      </c>
      <c r="M18" s="6" t="s">
        <v>921</v>
      </c>
      <c r="N18" s="6" t="s">
        <v>946</v>
      </c>
      <c r="O18" s="6" t="s">
        <v>947</v>
      </c>
      <c r="P18" s="6" t="s">
        <v>924</v>
      </c>
      <c r="Q18" s="6" t="s">
        <v>925</v>
      </c>
    </row>
    <row r="19" ht="15.0" customHeight="1">
      <c r="A19" s="6">
        <v>19.0</v>
      </c>
      <c r="B19" s="6" t="s">
        <v>143</v>
      </c>
      <c r="C19" s="6" t="s">
        <v>321</v>
      </c>
      <c r="D19" s="6" t="s">
        <v>478</v>
      </c>
      <c r="E19" s="6" t="s">
        <v>486</v>
      </c>
      <c r="F19" s="6" t="s">
        <v>326</v>
      </c>
      <c r="G19" s="6" t="s">
        <v>943</v>
      </c>
      <c r="H19" s="6" t="s">
        <v>917</v>
      </c>
      <c r="I19" s="6" t="s">
        <v>928</v>
      </c>
      <c r="J19" s="6" t="s">
        <v>918</v>
      </c>
      <c r="K19" s="6" t="s">
        <v>944</v>
      </c>
      <c r="L19" s="6" t="s">
        <v>945</v>
      </c>
      <c r="M19" s="6" t="s">
        <v>921</v>
      </c>
      <c r="N19" s="6" t="s">
        <v>946</v>
      </c>
      <c r="O19" s="6" t="s">
        <v>947</v>
      </c>
      <c r="P19" s="6" t="s">
        <v>924</v>
      </c>
      <c r="Q19" s="6" t="s">
        <v>925</v>
      </c>
    </row>
    <row r="20" ht="15.0" customHeight="1">
      <c r="A20" s="6">
        <v>20.0</v>
      </c>
      <c r="B20" s="6" t="s">
        <v>202</v>
      </c>
      <c r="C20" s="6" t="s">
        <v>490</v>
      </c>
      <c r="D20" s="6" t="s">
        <v>491</v>
      </c>
      <c r="E20" s="6" t="s">
        <v>195</v>
      </c>
      <c r="F20" s="6" t="s">
        <v>492</v>
      </c>
      <c r="G20" s="6" t="s">
        <v>980</v>
      </c>
      <c r="H20" s="6" t="s">
        <v>917</v>
      </c>
      <c r="I20" s="6" t="s">
        <v>712</v>
      </c>
      <c r="J20" s="6" t="s">
        <v>961</v>
      </c>
      <c r="K20" s="6" t="s">
        <v>981</v>
      </c>
      <c r="L20" s="6" t="s">
        <v>982</v>
      </c>
      <c r="M20" s="6" t="s">
        <v>921</v>
      </c>
      <c r="N20" s="6" t="s">
        <v>983</v>
      </c>
      <c r="O20" s="6" t="s">
        <v>984</v>
      </c>
      <c r="P20" s="6" t="s">
        <v>924</v>
      </c>
      <c r="Q20" s="6" t="s">
        <v>925</v>
      </c>
    </row>
    <row r="21" ht="15.0" customHeight="1">
      <c r="A21" s="6">
        <v>21.0</v>
      </c>
      <c r="B21" s="6" t="s">
        <v>202</v>
      </c>
      <c r="C21" s="6" t="s">
        <v>490</v>
      </c>
      <c r="D21" s="6" t="s">
        <v>491</v>
      </c>
      <c r="E21" s="6" t="s">
        <v>195</v>
      </c>
      <c r="F21" s="6" t="s">
        <v>492</v>
      </c>
      <c r="G21" s="6" t="s">
        <v>986</v>
      </c>
      <c r="H21" s="6" t="s">
        <v>917</v>
      </c>
      <c r="I21" s="6" t="s">
        <v>712</v>
      </c>
      <c r="J21" s="6" t="s">
        <v>961</v>
      </c>
      <c r="K21" s="6" t="s">
        <v>981</v>
      </c>
      <c r="L21" s="6" t="s">
        <v>982</v>
      </c>
      <c r="M21" s="6" t="s">
        <v>921</v>
      </c>
      <c r="N21" s="6" t="s">
        <v>983</v>
      </c>
      <c r="O21" s="6" t="s">
        <v>984</v>
      </c>
      <c r="P21" s="6" t="s">
        <v>924</v>
      </c>
      <c r="Q21" s="6" t="s">
        <v>925</v>
      </c>
    </row>
    <row r="22" ht="15.0" customHeight="1">
      <c r="A22" s="6">
        <v>22.0</v>
      </c>
      <c r="B22" s="6" t="s">
        <v>202</v>
      </c>
      <c r="C22" s="6" t="s">
        <v>490</v>
      </c>
      <c r="D22" s="6" t="s">
        <v>491</v>
      </c>
      <c r="E22" s="6" t="s">
        <v>195</v>
      </c>
      <c r="F22" s="6" t="s">
        <v>492</v>
      </c>
      <c r="G22" s="6" t="s">
        <v>987</v>
      </c>
      <c r="H22" s="6" t="s">
        <v>917</v>
      </c>
      <c r="I22" s="6" t="s">
        <v>712</v>
      </c>
      <c r="J22" s="6" t="s">
        <v>961</v>
      </c>
      <c r="K22" s="6" t="s">
        <v>981</v>
      </c>
      <c r="L22" s="6" t="s">
        <v>982</v>
      </c>
      <c r="M22" s="6" t="s">
        <v>921</v>
      </c>
      <c r="N22" s="6" t="s">
        <v>934</v>
      </c>
      <c r="O22" s="6" t="s">
        <v>984</v>
      </c>
      <c r="P22" s="6" t="s">
        <v>924</v>
      </c>
      <c r="Q22" s="6" t="s">
        <v>925</v>
      </c>
    </row>
    <row r="23" ht="15.0" customHeight="1">
      <c r="A23" s="6">
        <v>23.0</v>
      </c>
      <c r="B23" s="6" t="s">
        <v>95</v>
      </c>
      <c r="C23" s="6" t="s">
        <v>490</v>
      </c>
      <c r="D23" s="6" t="s">
        <v>491</v>
      </c>
      <c r="E23" s="6" t="s">
        <v>195</v>
      </c>
      <c r="F23" s="6" t="s">
        <v>492</v>
      </c>
      <c r="G23" s="6" t="s">
        <v>989</v>
      </c>
      <c r="H23" s="6" t="s">
        <v>917</v>
      </c>
      <c r="I23" s="6" t="s">
        <v>712</v>
      </c>
      <c r="J23" s="6" t="s">
        <v>961</v>
      </c>
      <c r="K23" s="6" t="s">
        <v>981</v>
      </c>
      <c r="L23" s="6" t="s">
        <v>982</v>
      </c>
      <c r="M23" s="6" t="s">
        <v>921</v>
      </c>
      <c r="N23" s="6" t="s">
        <v>983</v>
      </c>
      <c r="O23" s="6" t="s">
        <v>984</v>
      </c>
      <c r="P23" s="6" t="s">
        <v>924</v>
      </c>
      <c r="Q23" s="6" t="s">
        <v>925</v>
      </c>
    </row>
    <row r="24" ht="15.0" customHeight="1">
      <c r="A24" s="6">
        <v>24.0</v>
      </c>
      <c r="B24" s="6" t="s">
        <v>217</v>
      </c>
      <c r="C24" s="6" t="s">
        <v>525</v>
      </c>
      <c r="D24" s="6" t="s">
        <v>526</v>
      </c>
      <c r="E24" s="6" t="s">
        <v>527</v>
      </c>
      <c r="F24" s="6" t="s">
        <v>528</v>
      </c>
      <c r="G24" s="6" t="s">
        <v>991</v>
      </c>
      <c r="H24" s="6" t="s">
        <v>992</v>
      </c>
      <c r="I24" s="6" t="s">
        <v>928</v>
      </c>
      <c r="J24" s="6" t="s">
        <v>712</v>
      </c>
      <c r="K24" s="6" t="s">
        <v>993</v>
      </c>
      <c r="L24" s="6" t="s">
        <v>994</v>
      </c>
      <c r="M24" s="6" t="s">
        <v>921</v>
      </c>
      <c r="N24" s="6" t="s">
        <v>995</v>
      </c>
      <c r="O24" s="6" t="s">
        <v>996</v>
      </c>
      <c r="P24" s="6" t="s">
        <v>924</v>
      </c>
      <c r="Q24" s="6" t="s">
        <v>925</v>
      </c>
    </row>
    <row r="25" ht="15.0" customHeight="1">
      <c r="A25" s="6">
        <v>25.0</v>
      </c>
      <c r="B25" s="6" t="s">
        <v>217</v>
      </c>
      <c r="C25" s="6" t="s">
        <v>525</v>
      </c>
      <c r="D25" s="6" t="s">
        <v>526</v>
      </c>
      <c r="E25" s="6" t="s">
        <v>527</v>
      </c>
      <c r="F25" s="6" t="s">
        <v>540</v>
      </c>
      <c r="G25" s="6" t="s">
        <v>991</v>
      </c>
      <c r="H25" s="6" t="s">
        <v>992</v>
      </c>
      <c r="I25" s="6" t="s">
        <v>928</v>
      </c>
      <c r="J25" s="6" t="s">
        <v>712</v>
      </c>
      <c r="K25" s="6" t="s">
        <v>993</v>
      </c>
      <c r="L25" s="6" t="s">
        <v>994</v>
      </c>
      <c r="M25" s="6" t="s">
        <v>921</v>
      </c>
      <c r="N25" s="6" t="s">
        <v>997</v>
      </c>
      <c r="O25" s="6" t="s">
        <v>996</v>
      </c>
      <c r="P25" s="6" t="s">
        <v>924</v>
      </c>
      <c r="Q25" s="6" t="s">
        <v>925</v>
      </c>
    </row>
    <row r="26" ht="15.0" customHeight="1">
      <c r="A26" s="6">
        <v>26.0</v>
      </c>
      <c r="B26" s="6" t="s">
        <v>217</v>
      </c>
      <c r="C26" s="73" t="s">
        <v>545</v>
      </c>
      <c r="D26" s="6" t="s">
        <v>546</v>
      </c>
      <c r="E26" s="6" t="s">
        <v>998</v>
      </c>
      <c r="F26" s="6" t="s">
        <v>999</v>
      </c>
      <c r="G26" s="6" t="s">
        <v>1000</v>
      </c>
      <c r="H26" s="6" t="s">
        <v>1001</v>
      </c>
      <c r="I26" s="6" t="s">
        <v>937</v>
      </c>
      <c r="J26" s="6" t="s">
        <v>928</v>
      </c>
      <c r="K26" s="6" t="s">
        <v>1002</v>
      </c>
      <c r="L26" s="6" t="s">
        <v>1003</v>
      </c>
      <c r="M26" s="6" t="s">
        <v>1004</v>
      </c>
      <c r="N26" s="6" t="s">
        <v>1005</v>
      </c>
      <c r="O26" s="6" t="s">
        <v>546</v>
      </c>
      <c r="P26" s="6" t="s">
        <v>924</v>
      </c>
      <c r="Q26" s="6" t="s">
        <v>925</v>
      </c>
    </row>
    <row r="27" ht="15.0" customHeight="1">
      <c r="A27" s="6">
        <v>27.0</v>
      </c>
      <c r="B27" s="6" t="s">
        <v>217</v>
      </c>
      <c r="C27" s="6" t="s">
        <v>565</v>
      </c>
      <c r="D27" s="6" t="s">
        <v>566</v>
      </c>
      <c r="E27" s="6" t="s">
        <v>527</v>
      </c>
      <c r="F27" s="6" t="s">
        <v>568</v>
      </c>
      <c r="G27" s="6" t="s">
        <v>967</v>
      </c>
      <c r="H27" s="6" t="s">
        <v>917</v>
      </c>
      <c r="I27" s="6" t="s">
        <v>928</v>
      </c>
      <c r="J27" s="6" t="s">
        <v>918</v>
      </c>
      <c r="K27" s="6" t="s">
        <v>1007</v>
      </c>
      <c r="L27" s="6" t="s">
        <v>1008</v>
      </c>
      <c r="M27" s="6" t="s">
        <v>1009</v>
      </c>
      <c r="N27" s="6" t="s">
        <v>1010</v>
      </c>
      <c r="O27" s="6" t="s">
        <v>1011</v>
      </c>
      <c r="P27" s="6" t="s">
        <v>924</v>
      </c>
      <c r="Q27" s="6" t="s">
        <v>925</v>
      </c>
    </row>
    <row r="28" ht="15.0" customHeight="1">
      <c r="A28" s="6">
        <v>28.0</v>
      </c>
      <c r="B28" s="6" t="s">
        <v>157</v>
      </c>
      <c r="C28" s="6" t="s">
        <v>579</v>
      </c>
      <c r="D28" s="6" t="s">
        <v>580</v>
      </c>
      <c r="E28" s="6" t="s">
        <v>581</v>
      </c>
      <c r="F28" s="6" t="s">
        <v>582</v>
      </c>
      <c r="G28" s="6" t="s">
        <v>1013</v>
      </c>
      <c r="H28" s="6" t="s">
        <v>1014</v>
      </c>
      <c r="I28" s="6" t="s">
        <v>937</v>
      </c>
      <c r="J28" s="6" t="s">
        <v>928</v>
      </c>
      <c r="K28" s="6" t="s">
        <v>1015</v>
      </c>
      <c r="L28" s="6" t="s">
        <v>1016</v>
      </c>
      <c r="M28" s="6" t="s">
        <v>921</v>
      </c>
      <c r="N28" s="6" t="s">
        <v>1017</v>
      </c>
      <c r="O28" s="6" t="s">
        <v>1018</v>
      </c>
      <c r="P28" s="6" t="s">
        <v>924</v>
      </c>
      <c r="Q28" s="6" t="s">
        <v>925</v>
      </c>
    </row>
    <row r="29" ht="15.0" customHeight="1">
      <c r="A29" s="6">
        <v>29.0</v>
      </c>
      <c r="B29" s="6" t="s">
        <v>95</v>
      </c>
      <c r="C29" s="6" t="s">
        <v>597</v>
      </c>
      <c r="D29" s="6" t="s">
        <v>598</v>
      </c>
      <c r="E29" s="6" t="s">
        <v>601</v>
      </c>
      <c r="F29" s="6" t="s">
        <v>1019</v>
      </c>
      <c r="G29" s="6" t="s">
        <v>1020</v>
      </c>
      <c r="H29" s="6" t="s">
        <v>1021</v>
      </c>
      <c r="I29" s="6" t="s">
        <v>937</v>
      </c>
      <c r="J29" s="6" t="s">
        <v>937</v>
      </c>
      <c r="K29" s="6" t="s">
        <v>1022</v>
      </c>
      <c r="L29" s="6" t="s">
        <v>1023</v>
      </c>
      <c r="M29" s="6" t="s">
        <v>1024</v>
      </c>
      <c r="N29" s="6" t="s">
        <v>1025</v>
      </c>
      <c r="O29" s="6" t="s">
        <v>1026</v>
      </c>
      <c r="P29" s="6" t="s">
        <v>924</v>
      </c>
      <c r="Q29" s="6" t="s">
        <v>925</v>
      </c>
    </row>
    <row r="30" ht="15.0" customHeight="1">
      <c r="A30" s="6">
        <v>30.0</v>
      </c>
      <c r="B30" s="6" t="s">
        <v>95</v>
      </c>
      <c r="C30" s="6" t="s">
        <v>620</v>
      </c>
      <c r="D30" s="6" t="s">
        <v>621</v>
      </c>
      <c r="E30" s="6" t="s">
        <v>581</v>
      </c>
      <c r="F30" s="6" t="s">
        <v>623</v>
      </c>
      <c r="G30" s="6" t="s">
        <v>1027</v>
      </c>
      <c r="H30" s="6" t="s">
        <v>917</v>
      </c>
      <c r="I30" s="6" t="s">
        <v>937</v>
      </c>
      <c r="J30" s="6" t="s">
        <v>918</v>
      </c>
      <c r="K30" s="6" t="s">
        <v>1029</v>
      </c>
      <c r="L30" s="6" t="s">
        <v>1030</v>
      </c>
      <c r="M30" s="6" t="s">
        <v>921</v>
      </c>
      <c r="N30" s="6" t="s">
        <v>1031</v>
      </c>
      <c r="O30" s="6" t="s">
        <v>1032</v>
      </c>
      <c r="P30" s="6" t="s">
        <v>924</v>
      </c>
      <c r="Q30" s="6" t="s">
        <v>925</v>
      </c>
    </row>
    <row r="31" ht="15.0" customHeight="1">
      <c r="A31" s="6">
        <v>31.0</v>
      </c>
      <c r="B31" s="6" t="s">
        <v>217</v>
      </c>
      <c r="C31" s="6" t="s">
        <v>639</v>
      </c>
      <c r="D31" s="6" t="s">
        <v>640</v>
      </c>
      <c r="E31" s="6" t="s">
        <v>642</v>
      </c>
      <c r="F31" s="6" t="s">
        <v>643</v>
      </c>
      <c r="G31" s="6" t="s">
        <v>1033</v>
      </c>
      <c r="H31" s="6" t="s">
        <v>917</v>
      </c>
      <c r="I31" s="6" t="s">
        <v>937</v>
      </c>
      <c r="J31" s="6" t="s">
        <v>918</v>
      </c>
      <c r="K31" s="6" t="s">
        <v>1034</v>
      </c>
      <c r="L31" s="6" t="s">
        <v>1035</v>
      </c>
      <c r="M31" s="6" t="s">
        <v>921</v>
      </c>
      <c r="N31" s="6" t="s">
        <v>1036</v>
      </c>
      <c r="O31" s="6" t="s">
        <v>640</v>
      </c>
      <c r="P31" s="6" t="s">
        <v>924</v>
      </c>
      <c r="Q31" s="6" t="s">
        <v>925</v>
      </c>
    </row>
    <row r="32" ht="15.0" customHeight="1">
      <c r="A32" s="6">
        <v>32.0</v>
      </c>
      <c r="B32" s="6" t="s">
        <v>217</v>
      </c>
      <c r="C32" s="6" t="s">
        <v>525</v>
      </c>
      <c r="D32" s="6" t="s">
        <v>526</v>
      </c>
      <c r="E32" s="6" t="s">
        <v>527</v>
      </c>
      <c r="F32" s="6" t="s">
        <v>654</v>
      </c>
      <c r="G32" s="6" t="s">
        <v>991</v>
      </c>
      <c r="H32" s="6" t="s">
        <v>992</v>
      </c>
      <c r="I32" s="6" t="s">
        <v>928</v>
      </c>
      <c r="J32" s="6" t="s">
        <v>712</v>
      </c>
      <c r="K32" s="6" t="s">
        <v>993</v>
      </c>
      <c r="L32" s="6" t="s">
        <v>994</v>
      </c>
      <c r="M32" s="6" t="s">
        <v>921</v>
      </c>
      <c r="N32" s="6" t="s">
        <v>1037</v>
      </c>
      <c r="O32" s="6" t="s">
        <v>996</v>
      </c>
      <c r="P32" s="6" t="s">
        <v>924</v>
      </c>
      <c r="Q32" s="6" t="s">
        <v>925</v>
      </c>
    </row>
    <row r="33" ht="15.0" customHeight="1">
      <c r="A33" s="6">
        <v>33.0</v>
      </c>
      <c r="B33" s="6" t="s">
        <v>217</v>
      </c>
      <c r="C33" s="6" t="s">
        <v>337</v>
      </c>
      <c r="D33" s="6" t="s">
        <v>338</v>
      </c>
      <c r="E33" s="6" t="s">
        <v>657</v>
      </c>
      <c r="F33" s="6" t="s">
        <v>341</v>
      </c>
      <c r="G33" s="6" t="s">
        <v>1038</v>
      </c>
      <c r="H33" s="6" t="s">
        <v>949</v>
      </c>
      <c r="I33" s="6" t="s">
        <v>712</v>
      </c>
      <c r="J33" s="6" t="s">
        <v>712</v>
      </c>
      <c r="K33" s="6" t="s">
        <v>950</v>
      </c>
      <c r="L33" s="6" t="s">
        <v>951</v>
      </c>
      <c r="M33" s="6" t="s">
        <v>952</v>
      </c>
      <c r="N33" s="6" t="s">
        <v>953</v>
      </c>
      <c r="O33" s="6" t="s">
        <v>954</v>
      </c>
      <c r="P33" s="6" t="s">
        <v>924</v>
      </c>
      <c r="Q33" s="6" t="s">
        <v>925</v>
      </c>
    </row>
    <row r="34" ht="15.0" customHeight="1">
      <c r="A34" s="6">
        <v>34.0</v>
      </c>
      <c r="B34" s="6" t="s">
        <v>95</v>
      </c>
      <c r="C34" s="6" t="s">
        <v>303</v>
      </c>
      <c r="D34" s="6"/>
      <c r="E34" s="6" t="s">
        <v>306</v>
      </c>
      <c r="F34" s="6" t="s">
        <v>307</v>
      </c>
      <c r="G34" s="6" t="s">
        <v>1039</v>
      </c>
      <c r="H34" s="6" t="s">
        <v>936</v>
      </c>
      <c r="I34" s="6" t="s">
        <v>712</v>
      </c>
      <c r="J34" s="6" t="s">
        <v>937</v>
      </c>
      <c r="K34" s="6" t="s">
        <v>938</v>
      </c>
      <c r="L34" s="6" t="s">
        <v>939</v>
      </c>
      <c r="M34" s="6" t="s">
        <v>940</v>
      </c>
      <c r="N34" s="6" t="s">
        <v>941</v>
      </c>
      <c r="O34" s="6" t="s">
        <v>942</v>
      </c>
      <c r="P34" s="6" t="s">
        <v>924</v>
      </c>
      <c r="Q34" s="6" t="s">
        <v>925</v>
      </c>
    </row>
    <row r="35" ht="15.0" customHeight="1">
      <c r="A35" s="6">
        <v>35.0</v>
      </c>
      <c r="B35" s="6" t="s">
        <v>95</v>
      </c>
      <c r="C35" s="6" t="s">
        <v>676</v>
      </c>
      <c r="D35" s="6" t="s">
        <v>1040</v>
      </c>
      <c r="E35" s="6" t="s">
        <v>679</v>
      </c>
      <c r="F35" s="6" t="s">
        <v>680</v>
      </c>
      <c r="G35" s="6" t="s">
        <v>1041</v>
      </c>
      <c r="H35" s="6" t="s">
        <v>1042</v>
      </c>
      <c r="I35" s="6" t="s">
        <v>712</v>
      </c>
      <c r="J35" s="6" t="s">
        <v>1043</v>
      </c>
      <c r="K35" s="6" t="s">
        <v>1044</v>
      </c>
      <c r="L35" s="6" t="s">
        <v>1045</v>
      </c>
      <c r="M35" s="6" t="s">
        <v>1046</v>
      </c>
      <c r="N35" s="6" t="s">
        <v>1047</v>
      </c>
      <c r="O35" s="6" t="s">
        <v>1048</v>
      </c>
      <c r="P35" s="6" t="s">
        <v>924</v>
      </c>
      <c r="Q35" s="6" t="s">
        <v>925</v>
      </c>
    </row>
    <row r="36" ht="15.0" customHeight="1">
      <c r="A36" s="6">
        <v>36.0</v>
      </c>
      <c r="B36" s="6" t="s">
        <v>95</v>
      </c>
      <c r="C36" s="6" t="s">
        <v>694</v>
      </c>
      <c r="D36" s="6" t="s">
        <v>695</v>
      </c>
      <c r="E36" s="6" t="s">
        <v>696</v>
      </c>
      <c r="F36" s="6" t="s">
        <v>113</v>
      </c>
      <c r="G36" s="6" t="s">
        <v>1049</v>
      </c>
      <c r="H36" s="6" t="s">
        <v>1050</v>
      </c>
      <c r="I36" s="6" t="s">
        <v>928</v>
      </c>
      <c r="J36" s="6" t="s">
        <v>712</v>
      </c>
      <c r="K36" s="6" t="s">
        <v>1051</v>
      </c>
      <c r="L36" s="6" t="s">
        <v>1052</v>
      </c>
      <c r="M36" s="6" t="s">
        <v>921</v>
      </c>
      <c r="N36" s="6" t="s">
        <v>1053</v>
      </c>
      <c r="O36" s="6" t="s">
        <v>1054</v>
      </c>
      <c r="P36" s="6" t="s">
        <v>924</v>
      </c>
      <c r="Q36" s="6" t="s">
        <v>925</v>
      </c>
    </row>
    <row r="37" ht="15.0" customHeight="1">
      <c r="A37" s="6">
        <v>37.0</v>
      </c>
      <c r="B37" s="6" t="s">
        <v>185</v>
      </c>
      <c r="C37" s="6" t="s">
        <v>380</v>
      </c>
      <c r="D37" s="6" t="s">
        <v>381</v>
      </c>
      <c r="E37" s="6" t="s">
        <v>195</v>
      </c>
      <c r="F37" s="6" t="s">
        <v>383</v>
      </c>
      <c r="G37" s="6" t="s">
        <v>1055</v>
      </c>
      <c r="H37" s="6" t="s">
        <v>917</v>
      </c>
      <c r="I37" s="6" t="s">
        <v>712</v>
      </c>
      <c r="J37" s="6" t="s">
        <v>961</v>
      </c>
      <c r="K37" s="6" t="s">
        <v>962</v>
      </c>
      <c r="L37" s="6" t="s">
        <v>963</v>
      </c>
      <c r="M37" s="6" t="s">
        <v>921</v>
      </c>
      <c r="N37" s="6" t="s">
        <v>1056</v>
      </c>
      <c r="O37" s="6" t="s">
        <v>965</v>
      </c>
      <c r="P37" s="6" t="s">
        <v>924</v>
      </c>
      <c r="Q37" s="6" t="s">
        <v>925</v>
      </c>
    </row>
    <row r="38" ht="15.0" customHeight="1">
      <c r="A38" s="6">
        <v>38.0</v>
      </c>
      <c r="B38" s="6" t="s">
        <v>217</v>
      </c>
      <c r="C38" s="73" t="s">
        <v>722</v>
      </c>
      <c r="D38" s="6" t="s">
        <v>723</v>
      </c>
      <c r="E38" s="6" t="s">
        <v>724</v>
      </c>
      <c r="F38" s="6" t="s">
        <v>725</v>
      </c>
      <c r="G38" s="6" t="s">
        <v>1058</v>
      </c>
      <c r="H38" s="6" t="s">
        <v>917</v>
      </c>
      <c r="I38" s="6" t="s">
        <v>928</v>
      </c>
      <c r="J38" s="6" t="s">
        <v>918</v>
      </c>
      <c r="K38" s="6" t="s">
        <v>1059</v>
      </c>
      <c r="L38" s="6" t="s">
        <v>1060</v>
      </c>
      <c r="M38" s="6" t="s">
        <v>921</v>
      </c>
      <c r="N38" s="6" t="s">
        <v>1061</v>
      </c>
      <c r="O38" s="6" t="s">
        <v>723</v>
      </c>
      <c r="P38" s="6" t="s">
        <v>924</v>
      </c>
      <c r="Q38" s="6" t="s">
        <v>925</v>
      </c>
    </row>
    <row r="39" ht="15.0" customHeight="1">
      <c r="A39" s="6">
        <v>39.0</v>
      </c>
      <c r="B39" s="6" t="s">
        <v>217</v>
      </c>
      <c r="C39" s="73" t="s">
        <v>722</v>
      </c>
      <c r="D39" s="6" t="s">
        <v>723</v>
      </c>
      <c r="E39" s="6" t="s">
        <v>724</v>
      </c>
      <c r="F39" s="6" t="s">
        <v>725</v>
      </c>
      <c r="G39" s="6" t="s">
        <v>1062</v>
      </c>
      <c r="H39" s="6" t="s">
        <v>917</v>
      </c>
      <c r="I39" s="6" t="s">
        <v>928</v>
      </c>
      <c r="J39" s="6" t="s">
        <v>918</v>
      </c>
      <c r="K39" s="6" t="s">
        <v>1059</v>
      </c>
      <c r="L39" s="6" t="s">
        <v>1060</v>
      </c>
      <c r="M39" s="6" t="s">
        <v>921</v>
      </c>
      <c r="N39" s="6" t="s">
        <v>1061</v>
      </c>
      <c r="O39" s="6" t="s">
        <v>723</v>
      </c>
      <c r="P39" s="6" t="s">
        <v>924</v>
      </c>
      <c r="Q39" s="6" t="s">
        <v>925</v>
      </c>
    </row>
    <row r="40" ht="15.0" customHeight="1">
      <c r="A40" s="6">
        <v>40.0</v>
      </c>
      <c r="B40" s="6" t="s">
        <v>217</v>
      </c>
      <c r="C40" s="73" t="s">
        <v>722</v>
      </c>
      <c r="D40" s="6" t="s">
        <v>723</v>
      </c>
      <c r="E40" s="6" t="s">
        <v>724</v>
      </c>
      <c r="F40" s="6" t="s">
        <v>725</v>
      </c>
      <c r="G40" s="6" t="s">
        <v>1064</v>
      </c>
      <c r="H40" s="6" t="s">
        <v>917</v>
      </c>
      <c r="I40" s="6" t="s">
        <v>928</v>
      </c>
      <c r="J40" s="6" t="s">
        <v>918</v>
      </c>
      <c r="K40" s="6" t="s">
        <v>1059</v>
      </c>
      <c r="L40" s="6" t="s">
        <v>1060</v>
      </c>
      <c r="M40" s="6" t="s">
        <v>921</v>
      </c>
      <c r="N40" s="6" t="s">
        <v>1061</v>
      </c>
      <c r="O40" s="6" t="s">
        <v>723</v>
      </c>
      <c r="P40" s="6" t="s">
        <v>924</v>
      </c>
      <c r="Q40" s="6" t="s">
        <v>925</v>
      </c>
    </row>
    <row r="41" ht="15.0" customHeight="1">
      <c r="A41" s="6">
        <v>41.0</v>
      </c>
      <c r="B41" s="6" t="s">
        <v>202</v>
      </c>
      <c r="C41" s="6" t="s">
        <v>753</v>
      </c>
      <c r="D41" s="6" t="s">
        <v>754</v>
      </c>
      <c r="E41" s="6" t="s">
        <v>755</v>
      </c>
      <c r="F41" s="6" t="s">
        <v>757</v>
      </c>
      <c r="G41" s="6" t="s">
        <v>1065</v>
      </c>
      <c r="H41" s="6" t="s">
        <v>1066</v>
      </c>
      <c r="I41" s="6" t="s">
        <v>928</v>
      </c>
      <c r="J41" s="6" t="s">
        <v>937</v>
      </c>
      <c r="K41" s="6" t="s">
        <v>1067</v>
      </c>
      <c r="L41" s="6" t="s">
        <v>1068</v>
      </c>
      <c r="M41" s="6" t="s">
        <v>1069</v>
      </c>
      <c r="N41" s="6" t="s">
        <v>1070</v>
      </c>
      <c r="O41" s="6" t="s">
        <v>1071</v>
      </c>
      <c r="P41" s="6" t="s">
        <v>924</v>
      </c>
      <c r="Q41" s="6" t="s">
        <v>925</v>
      </c>
    </row>
    <row r="42" ht="15.0" customHeight="1">
      <c r="A42" s="6">
        <v>42.0</v>
      </c>
      <c r="B42" s="6" t="s">
        <v>185</v>
      </c>
      <c r="C42" s="6" t="s">
        <v>761</v>
      </c>
      <c r="D42" s="6" t="s">
        <v>762</v>
      </c>
      <c r="E42" s="6" t="s">
        <v>195</v>
      </c>
      <c r="F42" s="6" t="s">
        <v>763</v>
      </c>
      <c r="G42" s="6" t="s">
        <v>1073</v>
      </c>
      <c r="H42" s="6" t="s">
        <v>1074</v>
      </c>
      <c r="I42" s="6" t="s">
        <v>712</v>
      </c>
      <c r="J42" s="6" t="s">
        <v>1075</v>
      </c>
      <c r="K42" s="6" t="s">
        <v>1044</v>
      </c>
      <c r="L42" s="6" t="s">
        <v>1076</v>
      </c>
      <c r="M42" s="6" t="s">
        <v>1077</v>
      </c>
      <c r="N42" s="6" t="s">
        <v>1078</v>
      </c>
      <c r="O42" s="6" t="s">
        <v>984</v>
      </c>
      <c r="P42" s="6" t="s">
        <v>924</v>
      </c>
      <c r="Q42" s="6" t="s">
        <v>925</v>
      </c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2026-08-19T21:15:18Z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